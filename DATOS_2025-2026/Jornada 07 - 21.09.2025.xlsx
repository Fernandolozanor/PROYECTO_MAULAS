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ronósticos" sheetId="1" r:id="rId3"/>
    <sheet state="visible" name="Partidos" sheetId="2" r:id="rId4"/>
  </sheets>
  <definedNames>
    <definedName name="SeparacionA">'Pronósticos'!$A$18:$V$18</definedName>
    <definedName name="MAULAS">'Pronósticos'!$B$1:$V$1</definedName>
    <definedName name="SeparacionPleno">'Pronósticos'!$A$16:$S$16</definedName>
    <definedName name="Partidos">'Pronósticos'!$A$1:$A$20</definedName>
    <definedName name="RESULTADOSYUNOS">'Pronósticos'!$B$19:$V$20</definedName>
  </definedNames>
  <calcPr/>
</workbook>
</file>

<file path=xl/sharedStrings.xml><?xml version="1.0" encoding="utf-8"?>
<sst xmlns="http://schemas.openxmlformats.org/spreadsheetml/2006/main" count="127" uniqueCount="62">
  <si>
    <t>Alvaro</t>
  </si>
  <si>
    <t>Carlos</t>
  </si>
  <si>
    <t>David Buzón</t>
  </si>
  <si>
    <t>Edu</t>
  </si>
  <si>
    <t>Emilio</t>
  </si>
  <si>
    <t>Fernando Lozano</t>
  </si>
  <si>
    <t>Fernando Ramírez</t>
  </si>
  <si>
    <t>Heradio</t>
  </si>
  <si>
    <t>JA Valdivieso</t>
  </si>
  <si>
    <t>Javier Mora</t>
  </si>
  <si>
    <t>Juan Antonio</t>
  </si>
  <si>
    <t>Juanjo</t>
  </si>
  <si>
    <t>Luismi</t>
  </si>
  <si>
    <t>Marcelo</t>
  </si>
  <si>
    <t>Martín</t>
  </si>
  <si>
    <t>Rafa</t>
  </si>
  <si>
    <t>Ramon</t>
  </si>
  <si>
    <t>Raúl Romera</t>
  </si>
  <si>
    <t>Samuel</t>
  </si>
  <si>
    <t>DD 1</t>
  </si>
  <si>
    <t>DD 2</t>
  </si>
  <si>
    <t>DD 3</t>
  </si>
  <si>
    <t>DD 4</t>
  </si>
  <si>
    <t>DD 5</t>
  </si>
  <si>
    <t>DD 6</t>
  </si>
  <si>
    <t>X</t>
  </si>
  <si>
    <t>x</t>
  </si>
  <si>
    <t>Resultados</t>
  </si>
  <si>
    <t>Nº de unos</t>
  </si>
  <si>
    <t>EQUIPO 1</t>
  </si>
  <si>
    <t>EQUIPO 2</t>
  </si>
  <si>
    <t>RESULTADO</t>
  </si>
  <si>
    <t>Alavés</t>
  </si>
  <si>
    <t>Sevilla</t>
  </si>
  <si>
    <t>Barcelona</t>
  </si>
  <si>
    <t>Getafe</t>
  </si>
  <si>
    <t>Betis</t>
  </si>
  <si>
    <t>Real Sociedad</t>
  </si>
  <si>
    <t>Elche</t>
  </si>
  <si>
    <t>Oviedo</t>
  </si>
  <si>
    <t>Girona</t>
  </si>
  <si>
    <t>Levante</t>
  </si>
  <si>
    <t>Mallorca</t>
  </si>
  <si>
    <t>At.Madrid</t>
  </si>
  <si>
    <t>Rayo Vallecano</t>
  </si>
  <si>
    <t>Celta</t>
  </si>
  <si>
    <t>R.Madrid</t>
  </si>
  <si>
    <t>Espanyol</t>
  </si>
  <si>
    <t>Villarreal</t>
  </si>
  <si>
    <t>Osasuna</t>
  </si>
  <si>
    <t>Albacete</t>
  </si>
  <si>
    <t>Valladolid</t>
  </si>
  <si>
    <t>Córdoba</t>
  </si>
  <si>
    <t>Racing</t>
  </si>
  <si>
    <t>Deportivo</t>
  </si>
  <si>
    <t>Huesca</t>
  </si>
  <si>
    <t>Almería</t>
  </si>
  <si>
    <t>Sporting</t>
  </si>
  <si>
    <t>Málaga</t>
  </si>
  <si>
    <t>Cádiz</t>
  </si>
  <si>
    <t>Valencia</t>
  </si>
  <si>
    <t>Athletic Club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</si>
</sst>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d/MM/yyyy H:mm:ss"/>
    <numFmt numFmtId="165" formatCode="#,##0.###############"/>
  </numFmts>
  <fonts count="20">
    <font>
      <sz val="10.0"/>
      <color rgb="FF000000"/>
      <name val="Arial"/>
    </font>
    <font>
      <b/>
      <color rgb="FFFFFFFF"/>
    </font>
    <font>
      <b/>
      <sz val="10.0"/>
      <color rgb="FFFFFFFF"/>
    </font>
    <font>
      <b/>
      <sz val="10.0"/>
      <color rgb="FF073763"/>
      <name val="Courier New"/>
    </font>
    <font>
      <name val="Arial"/>
    </font>
    <font>
      <i/>
      <name val="Arial"/>
    </font>
    <font>
      <b/>
      <sz val="10.0"/>
      <color rgb="FF073763"/>
    </font>
    <font>
      <sz val="10.0"/>
      <color rgb="FFA61C00"/>
    </font>
    <font/>
    <font>
      <sz val="10.0"/>
      <color rgb="FFFFFFFF"/>
    </font>
    <font>
      <sz val="10.0"/>
      <color rgb="FFFFFFFF"/>
      <name val="Roboto"/>
    </font>
    <font>
      <b/>
      <sz val="12.0"/>
      <color rgb="FFFFFFFF"/>
    </font>
    <font>
      <sz val="10.0"/>
      <color rgb="FF990000"/>
    </font>
    <font>
      <sz val="10.0"/>
      <color rgb="FF980000"/>
    </font>
    <font>
      <b/>
      <sz val="12.0"/>
      <color rgb="FF073763"/>
    </font>
    <font>
      <color rgb="FF333333"/>
      <name val="&quot;Open Sans&quot;"/>
    </font>
    <font>
      <b/>
      <color rgb="FF073763"/>
      <name val="&quot;Open Sans&quot;"/>
    </font>
    <font>
      <b/>
      <color rgb="FF073763"/>
    </font>
    <font>
      <sz val="14.0"/>
      <color rgb="FF333333"/>
      <name val="&quot;Open Sans&quot;"/>
    </font>
    <font>
      <sz val="11.0"/>
      <color rgb="FF333333"/>
      <name val="&quot;Open Sans&quot;"/>
    </font>
  </fonts>
  <fills count="8">
    <fill>
      <patternFill patternType="none"/>
    </fill>
    <fill>
      <patternFill patternType="lightGray"/>
    </fill>
    <fill>
      <patternFill patternType="solid">
        <fgColor rgb="FF073763"/>
        <bgColor rgb="FF073763"/>
      </patternFill>
    </fill>
    <fill>
      <patternFill patternType="solid">
        <fgColor rgb="FF990000"/>
        <bgColor rgb="FF990000"/>
      </patternFill>
    </fill>
    <fill>
      <patternFill patternType="solid">
        <fgColor rgb="FFF8FCFF"/>
        <bgColor rgb="FFF8FCFF"/>
      </patternFill>
    </fill>
    <fill>
      <patternFill patternType="solid">
        <fgColor rgb="FFFFFFFF"/>
        <bgColor rgb="FFFFFFFF"/>
      </patternFill>
    </fill>
    <fill>
      <patternFill patternType="solid">
        <fgColor rgb="FFFFF9F8"/>
        <bgColor rgb="FFFFF9F8"/>
      </patternFill>
    </fill>
    <fill>
      <patternFill patternType="solid">
        <fgColor rgb="FFFFF8F8"/>
        <bgColor rgb="FFFFF8F8"/>
      </patternFill>
    </fill>
  </fills>
  <borders count="22">
    <border/>
    <border>
      <right style="thin">
        <color rgb="FF4A86E8"/>
      </right>
      <bottom style="thin">
        <color rgb="FF4A86E8"/>
      </bottom>
    </border>
    <border>
      <top style="thin">
        <color rgb="FF4A86E8"/>
      </top>
      <bottom style="thin">
        <color rgb="FFCCCCCC"/>
      </bottom>
    </border>
    <border>
      <right style="thick">
        <color rgb="FF073763"/>
      </right>
      <top style="thin">
        <color rgb="FF4A86E8"/>
      </top>
      <bottom style="thin">
        <color rgb="FFCCCCCC"/>
      </bottom>
    </border>
    <border>
      <right style="thin">
        <color rgb="FF4A86E8"/>
      </right>
      <top style="thin">
        <color rgb="FF4A86E8"/>
      </top>
      <bottom style="thin">
        <color rgb="FFCCCCCC"/>
      </bottom>
    </border>
    <border>
      <left style="thin">
        <color rgb="FF4A86E8"/>
      </left>
      <top style="thin">
        <color rgb="FF4A86E8"/>
      </top>
    </border>
    <border>
      <left style="thin">
        <color rgb="FF4A86E8"/>
      </left>
    </border>
    <border>
      <left style="thin">
        <color rgb="FF4A86E8"/>
      </left>
      <bottom style="thin">
        <color rgb="FF073763"/>
      </bottom>
    </border>
    <border>
      <bottom style="thin">
        <color rgb="FF073763"/>
      </bottom>
    </border>
    <border>
      <right style="thin">
        <color rgb="FFCCCCCC"/>
      </right>
    </border>
    <border>
      <right style="thick">
        <color rgb="FF073763"/>
      </right>
    </border>
    <border>
      <right style="thin">
        <color rgb="FFEAD1DC"/>
      </right>
      <top style="thin">
        <color rgb="FFEAD1DC"/>
      </top>
      <bottom style="thin">
        <color rgb="FFEAD1DC"/>
      </bottom>
    </border>
    <border>
      <left style="thin">
        <color rgb="FFEAD1DC"/>
      </left>
      <right style="thin">
        <color rgb="FFEAD1DC"/>
      </right>
      <top style="thin">
        <color rgb="FFEAD1DC"/>
      </top>
      <bottom style="thin">
        <color rgb="FFEAD1DC"/>
      </bottom>
    </border>
    <border>
      <bottom style="thin">
        <color rgb="FF000000"/>
      </bottom>
    </border>
    <border>
      <top style="thin">
        <color rgb="FFEAD1DC"/>
      </top>
    </border>
    <border>
      <right style="thin">
        <color rgb="FFCCCCCC"/>
      </right>
      <top style="thin">
        <color rgb="FFEAD1DC"/>
      </top>
    </border>
    <border>
      <top style="thin">
        <color rgb="FF000000"/>
      </top>
    </border>
    <border>
      <top style="thin">
        <color rgb="FF073763"/>
      </top>
    </border>
    <border>
      <left style="thin">
        <color rgb="FF073763"/>
      </left>
      <right style="thin">
        <color rgb="FF073763"/>
      </right>
      <top style="thin">
        <color rgb="FF073763"/>
      </top>
    </border>
    <border>
      <left style="thin">
        <color rgb="FF073763"/>
      </left>
      <right style="thin">
        <color rgb="FF073763"/>
      </right>
    </border>
    <border>
      <left style="thin">
        <color rgb="FF073763"/>
      </left>
      <right style="thin">
        <color rgb="FF073763"/>
      </right>
      <bottom style="thin">
        <color rgb="FF073763"/>
      </bottom>
    </border>
    <border>
      <left style="thin">
        <color rgb="FF073763"/>
      </left>
      <right style="thin">
        <color rgb="FF073763"/>
      </right>
      <top style="thin">
        <color rgb="FF073763"/>
      </top>
      <bottom style="thin">
        <color rgb="FF073763"/>
      </bottom>
    </border>
  </borders>
  <cellStyleXfs count="1">
    <xf borderId="0" fillId="0" fontId="0" numFmtId="0" applyAlignment="1" applyFont="1"/>
  </cellStyleXfs>
  <cellXfs count="68">
    <xf borderId="0" fillId="0" fontId="0" numFmtId="0" xfId="0" applyAlignment="1" applyFont="1">
      <alignment readingOrder="0" shrinkToFit="0" vertical="bottom" wrapText="1"/>
    </xf>
    <xf borderId="1" fillId="2" fontId="1" numFmtId="164" xfId="0" applyAlignment="1" applyBorder="1" applyFill="1" applyFont="1" applyNumberFormat="1">
      <alignment horizontal="center" shrinkToFit="0" vertical="center" wrapText="1"/>
    </xf>
    <xf borderId="2" fillId="2" fontId="2" numFmtId="165" xfId="0" applyAlignment="1" applyBorder="1" applyFont="1" applyNumberFormat="1">
      <alignment horizontal="center" readingOrder="0" shrinkToFit="0" vertical="center" wrapText="1"/>
    </xf>
    <xf borderId="2" fillId="2" fontId="2" numFmtId="0" xfId="0" applyAlignment="1" applyBorder="1" applyFont="1">
      <alignment horizontal="center" readingOrder="0" shrinkToFit="0" vertical="center" wrapText="1"/>
    </xf>
    <xf borderId="2" fillId="2" fontId="2" numFmtId="0" xfId="0" applyAlignment="1" applyBorder="1" applyFont="1">
      <alignment horizontal="center" readingOrder="0" shrinkToFit="0" vertical="center" wrapText="1"/>
    </xf>
    <xf borderId="0" fillId="2" fontId="2" numFmtId="0" xfId="0" applyAlignment="1" applyFont="1">
      <alignment horizontal="center" readingOrder="0" shrinkToFit="0" vertical="center" wrapText="1"/>
    </xf>
    <xf borderId="3" fillId="2" fontId="2" numFmtId="165" xfId="0" applyAlignment="1" applyBorder="1" applyFont="1" applyNumberFormat="1">
      <alignment horizontal="center" readingOrder="0" shrinkToFit="0" vertical="center" wrapText="1"/>
    </xf>
    <xf borderId="2" fillId="3" fontId="2" numFmtId="165" xfId="0" applyAlignment="1" applyBorder="1" applyFill="1" applyFont="1" applyNumberFormat="1">
      <alignment horizontal="center" readingOrder="0" shrinkToFit="0" vertical="center" wrapText="1"/>
    </xf>
    <xf borderId="4" fillId="3" fontId="2" numFmtId="0" xfId="0" applyAlignment="1" applyBorder="1" applyFont="1">
      <alignment horizontal="center" readingOrder="0" shrinkToFit="0" vertical="center" wrapText="1"/>
    </xf>
    <xf borderId="4" fillId="3" fontId="2" numFmtId="0" xfId="0" applyAlignment="1" applyBorder="1" applyFont="1">
      <alignment horizontal="center" readingOrder="0" shrinkToFit="0" vertical="center" wrapText="1"/>
    </xf>
    <xf borderId="5" fillId="4" fontId="3" numFmtId="0" xfId="0" applyAlignment="1" applyBorder="1" applyFill="1" applyFont="1">
      <alignment shrinkToFit="0" vertical="center" wrapText="1"/>
    </xf>
    <xf borderId="0" fillId="0" fontId="4" numFmtId="0" xfId="0" applyAlignment="1" applyFont="1">
      <alignment horizontal="center" readingOrder="0" shrinkToFit="0" wrapText="1"/>
    </xf>
    <xf borderId="0" fillId="4" fontId="4" numFmtId="0" xfId="0" applyAlignment="1" applyFont="1">
      <alignment horizontal="center" readingOrder="0" shrinkToFit="0" wrapText="1"/>
    </xf>
    <xf borderId="0" fillId="0" fontId="4" numFmtId="0" xfId="0" applyAlignment="1" applyFont="1">
      <alignment horizontal="center" readingOrder="0" shrinkToFit="0" vertical="bottom" wrapText="1"/>
    </xf>
    <xf borderId="0" fillId="5" fontId="4" numFmtId="0" xfId="0" applyAlignment="1" applyFill="1" applyFont="1">
      <alignment horizontal="center" readingOrder="0" shrinkToFit="0" wrapText="1"/>
    </xf>
    <xf borderId="0" fillId="6" fontId="4" numFmtId="0" xfId="0" applyAlignment="1" applyFill="1" applyFont="1">
      <alignment horizontal="center" shrinkToFit="0" wrapText="1"/>
    </xf>
    <xf borderId="0" fillId="5" fontId="4" numFmtId="0" xfId="0" applyAlignment="1" applyFont="1">
      <alignment horizontal="center" shrinkToFit="0" wrapText="1"/>
    </xf>
    <xf borderId="6" fillId="4" fontId="3" numFmtId="0" xfId="0" applyAlignment="1" applyBorder="1" applyFont="1">
      <alignment shrinkToFit="0" vertical="center" wrapText="1"/>
    </xf>
    <xf borderId="0" fillId="0" fontId="4" numFmtId="0" xfId="0" applyAlignment="1" applyFont="1">
      <alignment horizontal="center" shrinkToFit="0" vertical="bottom" wrapText="1"/>
    </xf>
    <xf borderId="7" fillId="4" fontId="3" numFmtId="0" xfId="0" applyAlignment="1" applyBorder="1" applyFont="1">
      <alignment shrinkToFit="0" vertical="center" wrapText="1"/>
    </xf>
    <xf borderId="8" fillId="0" fontId="4" numFmtId="0" xfId="0" applyAlignment="1" applyBorder="1" applyFont="1">
      <alignment horizontal="center" readingOrder="0" shrinkToFit="0" wrapText="1"/>
    </xf>
    <xf borderId="8" fillId="4" fontId="4" numFmtId="0" xfId="0" applyAlignment="1" applyBorder="1" applyFont="1">
      <alignment horizontal="center" readingOrder="0" shrinkToFit="0" wrapText="1"/>
    </xf>
    <xf borderId="8" fillId="0" fontId="4" numFmtId="0" xfId="0" applyAlignment="1" applyBorder="1" applyFont="1">
      <alignment horizontal="center" shrinkToFit="0" vertical="bottom" wrapText="1"/>
    </xf>
    <xf borderId="8" fillId="5" fontId="4" numFmtId="0" xfId="0" applyAlignment="1" applyBorder="1" applyFont="1">
      <alignment horizontal="center" readingOrder="0" shrinkToFit="0" wrapText="1"/>
    </xf>
    <xf borderId="8" fillId="6" fontId="4" numFmtId="0" xfId="0" applyAlignment="1" applyBorder="1" applyFont="1">
      <alignment horizontal="center" shrinkToFit="0" wrapText="1"/>
    </xf>
    <xf borderId="8" fillId="5" fontId="4" numFmtId="0" xfId="0" applyAlignment="1" applyBorder="1" applyFont="1">
      <alignment horizontal="center" shrinkToFit="0" wrapText="1"/>
    </xf>
    <xf borderId="8" fillId="0" fontId="4" numFmtId="0" xfId="0" applyAlignment="1" applyBorder="1" applyFont="1">
      <alignment horizontal="center" readingOrder="0" shrinkToFit="0" vertical="bottom" wrapText="1"/>
    </xf>
    <xf borderId="8" fillId="4" fontId="5" numFmtId="0" xfId="0" applyAlignment="1" applyBorder="1" applyFont="1">
      <alignment horizontal="center" readingOrder="0" shrinkToFit="0" wrapText="1"/>
    </xf>
    <xf borderId="0" fillId="2" fontId="6" numFmtId="0" xfId="0" applyAlignment="1" applyFont="1">
      <alignment shrinkToFit="0" vertical="center" wrapText="1"/>
    </xf>
    <xf borderId="0" fillId="2" fontId="7" numFmtId="165" xfId="0" applyAlignment="1" applyFont="1" applyNumberFormat="1">
      <alignment horizontal="center" readingOrder="0" shrinkToFit="0" vertical="center" wrapText="1"/>
    </xf>
    <xf borderId="9" fillId="0" fontId="8" numFmtId="0" xfId="0" applyAlignment="1" applyBorder="1" applyFont="1">
      <alignment shrinkToFit="0" wrapText="1"/>
    </xf>
    <xf borderId="0" fillId="4" fontId="3" numFmtId="0" xfId="0" applyAlignment="1" applyFont="1">
      <alignment shrinkToFit="0" vertical="center" wrapText="1"/>
    </xf>
    <xf borderId="0" fillId="5" fontId="7" numFmtId="0" xfId="0" applyAlignment="1" applyFont="1">
      <alignment horizontal="center" readingOrder="0" shrinkToFit="0" vertical="center" wrapText="1"/>
    </xf>
    <xf borderId="0" fillId="4" fontId="7" numFmtId="0" xfId="0" applyAlignment="1" applyFont="1">
      <alignment horizontal="center" readingOrder="0" shrinkToFit="0" vertical="center" wrapText="1"/>
    </xf>
    <xf borderId="10" fillId="5" fontId="7" numFmtId="0" xfId="0" applyAlignment="1" applyBorder="1" applyFont="1">
      <alignment horizontal="center" readingOrder="0" shrinkToFit="0" vertical="center" wrapText="1"/>
    </xf>
    <xf borderId="11" fillId="7" fontId="9" numFmtId="0" xfId="0" applyAlignment="1" applyBorder="1" applyFill="1" applyFont="1">
      <alignment horizontal="center" readingOrder="0" shrinkToFit="0" vertical="center" wrapText="1"/>
    </xf>
    <xf borderId="12" fillId="7" fontId="10" numFmtId="0" xfId="0" applyAlignment="1" applyBorder="1" applyFont="1">
      <alignment horizontal="center" readingOrder="0" shrinkToFit="0" vertical="center" wrapText="1"/>
    </xf>
    <xf borderId="12" fillId="7" fontId="9" numFmtId="0" xfId="0" applyAlignment="1" applyBorder="1" applyFont="1">
      <alignment horizontal="center" readingOrder="0" shrinkToFit="0" vertical="center" wrapText="1"/>
    </xf>
    <xf borderId="0" fillId="0" fontId="8" numFmtId="0" xfId="0" applyAlignment="1" applyFont="1">
      <alignment shrinkToFit="0" vertical="center" wrapText="1"/>
    </xf>
    <xf borderId="13" fillId="0" fontId="9" numFmtId="0" xfId="0" applyAlignment="1" applyBorder="1" applyFont="1">
      <alignment horizontal="center" shrinkToFit="0" vertical="center" wrapText="1"/>
    </xf>
    <xf borderId="13" fillId="0" fontId="9" numFmtId="0" xfId="0" applyAlignment="1" applyBorder="1" applyFont="1">
      <alignment shrinkToFit="0" vertical="center" wrapText="1"/>
    </xf>
    <xf borderId="0" fillId="0" fontId="8" numFmtId="0" xfId="0" applyAlignment="1" applyFont="1">
      <alignment horizontal="center" shrinkToFit="0" vertical="center" wrapText="1"/>
    </xf>
    <xf borderId="14" fillId="0" fontId="8" numFmtId="0" xfId="0" applyAlignment="1" applyBorder="1" applyFont="1">
      <alignment horizontal="center" readingOrder="0" shrinkToFit="0" vertical="center" wrapText="1"/>
    </xf>
    <xf borderId="15" fillId="0" fontId="8" numFmtId="0" xfId="0" applyAlignment="1" applyBorder="1" applyFont="1">
      <alignment shrinkToFit="0" wrapText="1"/>
    </xf>
    <xf borderId="14" fillId="0" fontId="8" numFmtId="0" xfId="0" applyAlignment="1" applyBorder="1" applyFont="1">
      <alignment horizontal="center" shrinkToFit="0" vertical="center" wrapText="1"/>
    </xf>
    <xf borderId="16" fillId="2" fontId="11" numFmtId="0" xfId="0" applyAlignment="1" applyBorder="1" applyFont="1">
      <alignment horizontal="center" shrinkToFit="0" vertical="center" wrapText="1"/>
    </xf>
    <xf borderId="17" fillId="3" fontId="11" numFmtId="0" xfId="0" applyAlignment="1" applyBorder="1" applyFont="1">
      <alignment horizontal="center" shrinkToFit="0" vertical="center" wrapText="1"/>
    </xf>
    <xf borderId="17" fillId="0" fontId="8" numFmtId="0" xfId="0" applyAlignment="1" applyBorder="1" applyFont="1">
      <alignment shrinkToFit="0" wrapText="1"/>
    </xf>
    <xf borderId="17" fillId="2" fontId="11" numFmtId="0" xfId="0" applyAlignment="1" applyBorder="1" applyFont="1">
      <alignment horizontal="center" shrinkToFit="0" vertical="center" wrapText="1"/>
    </xf>
    <xf borderId="0" fillId="5" fontId="12" numFmtId="0" xfId="0" applyAlignment="1" applyFont="1">
      <alignment horizontal="center" shrinkToFit="0" vertical="center" wrapText="1"/>
    </xf>
    <xf borderId="0" fillId="5" fontId="13" numFmtId="0" xfId="0" applyAlignment="1" applyFont="1">
      <alignment horizontal="center" shrinkToFit="0" vertical="center" wrapText="1"/>
    </xf>
    <xf borderId="8" fillId="0" fontId="8" numFmtId="0" xfId="0" applyAlignment="1" applyBorder="1" applyFont="1">
      <alignment shrinkToFit="0" wrapText="1"/>
    </xf>
    <xf borderId="13" fillId="0" fontId="8" numFmtId="0" xfId="0" applyAlignment="1" applyBorder="1" applyFont="1">
      <alignment horizontal="center" shrinkToFit="0" vertical="center" wrapText="1"/>
    </xf>
    <xf borderId="0" fillId="4" fontId="14" numFmtId="0" xfId="0" applyAlignment="1" applyFont="1">
      <alignment readingOrder="0" shrinkToFit="0" wrapText="1"/>
    </xf>
    <xf borderId="0" fillId="0" fontId="15" numFmtId="0" xfId="0" applyAlignment="1" applyFont="1">
      <alignment horizontal="center" shrinkToFit="0" wrapText="1"/>
    </xf>
    <xf borderId="0" fillId="0" fontId="16" numFmtId="0" xfId="0" applyAlignment="1" applyFont="1">
      <alignment horizontal="left" readingOrder="0" shrinkToFit="0" wrapText="1"/>
    </xf>
    <xf borderId="0" fillId="0" fontId="15" numFmtId="0" xfId="0" applyAlignment="1" applyFont="1">
      <alignment horizontal="center" shrinkToFit="0" wrapText="1"/>
    </xf>
    <xf borderId="0" fillId="0" fontId="15" numFmtId="0" xfId="0" applyAlignment="1" applyFont="1">
      <alignment horizontal="left" shrinkToFit="0" wrapText="1"/>
    </xf>
    <xf borderId="0" fillId="0" fontId="15" numFmtId="0" xfId="0" applyAlignment="1" applyFont="1">
      <alignment horizontal="left" readingOrder="0" shrinkToFit="0" wrapText="1"/>
    </xf>
    <xf borderId="18" fillId="0" fontId="17" numFmtId="0" xfId="0" applyAlignment="1" applyBorder="1" applyFont="1">
      <alignment horizontal="center" readingOrder="0" shrinkToFit="0" vertical="bottom" wrapText="1"/>
    </xf>
    <xf borderId="0" fillId="0" fontId="17" numFmtId="0" xfId="0" applyAlignment="1" applyFont="1">
      <alignment shrinkToFit="0" wrapText="1"/>
    </xf>
    <xf borderId="0" fillId="0" fontId="15" numFmtId="0" xfId="0" applyAlignment="1" applyFont="1">
      <alignment horizontal="center" readingOrder="0" shrinkToFit="0" wrapText="1"/>
    </xf>
    <xf borderId="0" fillId="0" fontId="15" numFmtId="0" xfId="0" applyAlignment="1" applyFont="1">
      <alignment horizontal="left" shrinkToFit="0" wrapText="1"/>
    </xf>
    <xf borderId="19" fillId="0" fontId="17" numFmtId="0" xfId="0" applyAlignment="1" applyBorder="1" applyFont="1">
      <alignment horizontal="center" readingOrder="0" shrinkToFit="0" vertical="bottom" wrapText="1"/>
    </xf>
    <xf borderId="20" fillId="0" fontId="17" numFmtId="0" xfId="0" applyAlignment="1" applyBorder="1" applyFont="1">
      <alignment horizontal="center" readingOrder="0" shrinkToFit="0" vertical="bottom" wrapText="1"/>
    </xf>
    <xf borderId="21" fillId="0" fontId="17" numFmtId="0" xfId="0" applyAlignment="1" applyBorder="1" applyFont="1">
      <alignment readingOrder="0" shrinkToFit="0" wrapText="1"/>
    </xf>
    <xf borderId="0" fillId="0" fontId="18" numFmtId="0" xfId="0" applyAlignment="1" applyFont="1">
      <alignment shrinkToFit="0" wrapText="1"/>
    </xf>
    <xf borderId="0" fillId="0" fontId="19" numFmtId="0" xfId="0" applyAlignment="1" applyFont="1">
      <alignment shrinkToFit="0" wrapText="1"/>
    </xf>
  </cellXfs>
  <cellStyles count="1">
    <cellStyle xfId="0" name="Normal" builtinId="0"/>
  </cellStyles>
  <dxfs count="7">
    <dxf>
      <font>
        <b/>
        <color rgb="FFFF0000"/>
      </font>
      <fill>
        <patternFill patternType="none"/>
      </fill>
      <border/>
    </dxf>
    <dxf>
      <font>
        <b/>
        <color rgb="FFFF0000"/>
      </font>
      <fill>
        <patternFill patternType="solid">
          <fgColor rgb="FFFFF9F8"/>
          <bgColor rgb="FFFFF9F8"/>
        </patternFill>
      </fill>
      <border/>
    </dxf>
    <dxf>
      <font>
        <b/>
        <color rgb="FFFFFFFF"/>
      </font>
      <fill>
        <patternFill patternType="solid">
          <fgColor rgb="FF073763"/>
          <bgColor rgb="FF073763"/>
        </patternFill>
      </fill>
      <border/>
    </dxf>
    <dxf>
      <font>
        <b/>
        <color rgb="FF38761D"/>
      </font>
      <fill>
        <patternFill patternType="solid">
          <fgColor rgb="FFD9EAD3"/>
          <bgColor rgb="FFD9EAD3"/>
        </patternFill>
      </fill>
      <border/>
    </dxf>
    <dxf>
      <font>
        <b/>
        <color rgb="FFFFFFFF"/>
      </font>
      <fill>
        <patternFill patternType="solid">
          <fgColor rgb="FF990000"/>
          <bgColor rgb="FF990000"/>
        </patternFill>
      </fill>
      <border/>
    </dxf>
    <dxf>
      <font>
        <b/>
        <color rgb="FF38761D"/>
      </font>
      <fill>
        <patternFill patternType="solid">
          <fgColor rgb="FFB7E1CD"/>
          <bgColor rgb="FFB7E1CD"/>
        </patternFill>
      </fill>
      <border/>
    </dxf>
    <dxf>
      <font>
        <b/>
        <color rgb="FFFFFFFF"/>
      </font>
      <fill>
        <patternFill patternType="solid">
          <fgColor rgb="FFFFF9F8"/>
          <bgColor rgb="FFFFF9F8"/>
        </patternFill>
      </fill>
      <border/>
    </dxf>
  </dxf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1.0" ySplit="1.0" topLeftCell="B2" activePane="bottomRight" state="frozen"/>
      <selection activeCell="B1" sqref="B1" pane="topRight"/>
      <selection activeCell="A2" sqref="A2" pane="bottomLeft"/>
      <selection activeCell="B2" sqref="B2" pane="bottomRight"/>
    </sheetView>
  </sheetViews>
  <sheetFormatPr customHeight="1" defaultColWidth="15.13" defaultRowHeight="15.75"/>
  <cols>
    <col customWidth="1" min="1" max="1" width="28.88"/>
    <col customWidth="1" min="2" max="9" width="8.5"/>
    <col customWidth="1" min="10" max="10" width="10.0"/>
    <col customWidth="1" min="11" max="26" width="8.5"/>
  </cols>
  <sheetData>
    <row r="1" ht="24.0" customHeight="1">
      <c r="A1" s="1">
        <f>NOW()</f>
        <v>45998.90157</v>
      </c>
      <c r="B1" s="2" t="s">
        <v>0</v>
      </c>
      <c r="C1" s="3" t="s">
        <v>1</v>
      </c>
      <c r="D1" s="3" t="s">
        <v>2</v>
      </c>
      <c r="E1" s="3" t="s">
        <v>3</v>
      </c>
      <c r="F1" s="3" t="s">
        <v>4</v>
      </c>
      <c r="G1" s="3" t="s">
        <v>5</v>
      </c>
      <c r="H1" s="2" t="s">
        <v>6</v>
      </c>
      <c r="I1" s="3" t="s">
        <v>7</v>
      </c>
      <c r="J1" s="2" t="s">
        <v>8</v>
      </c>
      <c r="K1" s="3" t="s">
        <v>9</v>
      </c>
      <c r="L1" s="2" t="s">
        <v>10</v>
      </c>
      <c r="M1" s="3" t="s">
        <v>11</v>
      </c>
      <c r="N1" s="3" t="s">
        <v>12</v>
      </c>
      <c r="O1" s="3" t="s">
        <v>13</v>
      </c>
      <c r="P1" s="2" t="s">
        <v>14</v>
      </c>
      <c r="Q1" s="3" t="s">
        <v>15</v>
      </c>
      <c r="R1" s="4" t="s">
        <v>16</v>
      </c>
      <c r="S1" s="5" t="s">
        <v>17</v>
      </c>
      <c r="T1" s="6" t="s">
        <v>18</v>
      </c>
      <c r="U1" s="7" t="s">
        <v>19</v>
      </c>
      <c r="V1" s="8" t="s">
        <v>20</v>
      </c>
      <c r="W1" s="7" t="s">
        <v>21</v>
      </c>
      <c r="X1" s="9" t="s">
        <v>22</v>
      </c>
      <c r="Y1" s="7" t="s">
        <v>23</v>
      </c>
      <c r="Z1" s="9" t="s">
        <v>24</v>
      </c>
    </row>
    <row r="2">
      <c r="A2" s="10" t="str">
        <f>Partidos!A2&amp;"-"&amp;Partidos!B2&amp;LEFT("...............",25-LEN(Partidos!A2&amp;"-"&amp;Partidos!B2))&amp;(ROW()-1)</f>
        <v>Alavés-Sevilla...........1</v>
      </c>
      <c r="B2" s="11">
        <v>2.0</v>
      </c>
      <c r="C2" s="12">
        <v>2.0</v>
      </c>
      <c r="D2" s="11" t="s">
        <v>25</v>
      </c>
      <c r="E2" s="12" t="s">
        <v>25</v>
      </c>
      <c r="F2" s="11">
        <v>2.0</v>
      </c>
      <c r="G2" s="12">
        <v>1.0</v>
      </c>
      <c r="H2" s="11">
        <v>1.0</v>
      </c>
      <c r="I2" s="12">
        <v>1.0</v>
      </c>
      <c r="J2" s="11">
        <v>2.0</v>
      </c>
      <c r="K2" s="12">
        <v>2.0</v>
      </c>
      <c r="L2" s="12">
        <v>2.0</v>
      </c>
      <c r="M2" s="12">
        <v>1.0</v>
      </c>
      <c r="N2" s="11">
        <v>1.0</v>
      </c>
      <c r="O2" s="12">
        <v>2.0</v>
      </c>
      <c r="P2" s="11">
        <v>2.0</v>
      </c>
      <c r="Q2" s="12">
        <v>2.0</v>
      </c>
      <c r="R2" s="11" t="s">
        <v>25</v>
      </c>
      <c r="S2" s="12" t="s">
        <v>25</v>
      </c>
      <c r="T2" s="12" t="s">
        <v>25</v>
      </c>
      <c r="U2" s="12">
        <v>2.0</v>
      </c>
      <c r="V2" s="11" t="s">
        <v>25</v>
      </c>
      <c r="W2" s="13" t="s">
        <v>25</v>
      </c>
      <c r="X2" s="14">
        <v>2.0</v>
      </c>
      <c r="Y2" s="15"/>
      <c r="Z2" s="16"/>
    </row>
    <row r="3">
      <c r="A3" s="17" t="str">
        <f>Partidos!A3&amp;"-"&amp;Partidos!B3&amp;LEFT("...............",25-LEN(Partidos!A3&amp;"-"&amp;Partidos!B3))&amp;(ROW()-1)</f>
        <v>Barcelona-Getafe.........2</v>
      </c>
      <c r="B3" s="11">
        <v>1.0</v>
      </c>
      <c r="C3" s="12">
        <v>1.0</v>
      </c>
      <c r="D3" s="11">
        <v>1.0</v>
      </c>
      <c r="E3" s="12">
        <v>1.0</v>
      </c>
      <c r="F3" s="11">
        <v>1.0</v>
      </c>
      <c r="G3" s="12">
        <v>1.0</v>
      </c>
      <c r="H3" s="11">
        <v>1.0</v>
      </c>
      <c r="I3" s="12">
        <v>2.0</v>
      </c>
      <c r="J3" s="11">
        <v>1.0</v>
      </c>
      <c r="K3" s="12">
        <v>1.0</v>
      </c>
      <c r="L3" s="12">
        <v>1.0</v>
      </c>
      <c r="M3" s="12" t="s">
        <v>25</v>
      </c>
      <c r="N3" s="11">
        <v>1.0</v>
      </c>
      <c r="O3" s="12">
        <v>1.0</v>
      </c>
      <c r="P3" s="11">
        <v>1.0</v>
      </c>
      <c r="Q3" s="12">
        <v>1.0</v>
      </c>
      <c r="R3" s="11">
        <v>1.0</v>
      </c>
      <c r="S3" s="12">
        <v>1.0</v>
      </c>
      <c r="T3" s="12">
        <v>1.0</v>
      </c>
      <c r="U3" s="12">
        <v>1.0</v>
      </c>
      <c r="V3" s="11"/>
      <c r="W3" s="18">
        <v>1.0</v>
      </c>
      <c r="X3" s="14"/>
      <c r="Y3" s="15"/>
      <c r="Z3" s="16"/>
    </row>
    <row r="4">
      <c r="A4" s="17" t="str">
        <f>Partidos!A4&amp;"-"&amp;Partidos!B4&amp;LEFT("...............",25-LEN(Partidos!A4&amp;"-"&amp;Partidos!B4))&amp;(ROW()-1)</f>
        <v>Betis-Real Sociedad......3</v>
      </c>
      <c r="B4" s="11">
        <v>1.0</v>
      </c>
      <c r="C4" s="12">
        <v>1.0</v>
      </c>
      <c r="D4" s="11">
        <v>1.0</v>
      </c>
      <c r="E4" s="12">
        <v>1.0</v>
      </c>
      <c r="F4" s="11">
        <v>1.0</v>
      </c>
      <c r="G4" s="12">
        <v>1.0</v>
      </c>
      <c r="H4" s="11" t="s">
        <v>25</v>
      </c>
      <c r="I4" s="12" t="s">
        <v>25</v>
      </c>
      <c r="J4" s="11">
        <v>2.0</v>
      </c>
      <c r="K4" s="12">
        <v>1.0</v>
      </c>
      <c r="L4" s="12">
        <v>1.0</v>
      </c>
      <c r="M4" s="12">
        <v>1.0</v>
      </c>
      <c r="N4" s="11">
        <v>2.0</v>
      </c>
      <c r="O4" s="12" t="s">
        <v>25</v>
      </c>
      <c r="P4" s="11">
        <v>1.0</v>
      </c>
      <c r="Q4" s="12">
        <v>1.0</v>
      </c>
      <c r="R4" s="11">
        <v>1.0</v>
      </c>
      <c r="S4" s="12">
        <v>1.0</v>
      </c>
      <c r="T4" s="12">
        <v>1.0</v>
      </c>
      <c r="U4" s="12">
        <v>1.0</v>
      </c>
      <c r="V4" s="11"/>
      <c r="W4" s="18">
        <v>1.0</v>
      </c>
      <c r="X4" s="14"/>
      <c r="Y4" s="15"/>
      <c r="Z4" s="16"/>
    </row>
    <row r="5">
      <c r="A5" s="19" t="str">
        <f>Partidos!A5&amp;"-"&amp;Partidos!B5&amp;LEFT("...............",25-LEN(Partidos!A5&amp;"-"&amp;Partidos!B5))&amp;(ROW()-1)</f>
        <v>Elche-Oviedo.............4</v>
      </c>
      <c r="B5" s="20">
        <v>1.0</v>
      </c>
      <c r="C5" s="21">
        <v>1.0</v>
      </c>
      <c r="D5" s="20">
        <v>1.0</v>
      </c>
      <c r="E5" s="21">
        <v>1.0</v>
      </c>
      <c r="F5" s="20">
        <v>1.0</v>
      </c>
      <c r="G5" s="21">
        <v>1.0</v>
      </c>
      <c r="H5" s="20" t="s">
        <v>25</v>
      </c>
      <c r="I5" s="21">
        <v>1.0</v>
      </c>
      <c r="J5" s="20">
        <v>1.0</v>
      </c>
      <c r="K5" s="21" t="s">
        <v>25</v>
      </c>
      <c r="L5" s="21">
        <v>1.0</v>
      </c>
      <c r="M5" s="21">
        <v>1.0</v>
      </c>
      <c r="N5" s="20">
        <v>1.0</v>
      </c>
      <c r="O5" s="21">
        <v>2.0</v>
      </c>
      <c r="P5" s="20">
        <v>1.0</v>
      </c>
      <c r="Q5" s="21" t="s">
        <v>25</v>
      </c>
      <c r="R5" s="20">
        <v>1.0</v>
      </c>
      <c r="S5" s="21" t="s">
        <v>25</v>
      </c>
      <c r="T5" s="21">
        <v>1.0</v>
      </c>
      <c r="U5" s="21">
        <v>1.0</v>
      </c>
      <c r="V5" s="20" t="s">
        <v>25</v>
      </c>
      <c r="W5" s="22">
        <v>1.0</v>
      </c>
      <c r="X5" s="23" t="s">
        <v>25</v>
      </c>
      <c r="Y5" s="24"/>
      <c r="Z5" s="25"/>
    </row>
    <row r="6">
      <c r="A6" s="17" t="str">
        <f>Partidos!A6&amp;"-"&amp;Partidos!B6&amp;LEFT("...............",25-LEN(Partidos!A6&amp;"-"&amp;Partidos!B6))&amp;(ROW()-1)</f>
        <v>Girona-Levante...........5</v>
      </c>
      <c r="B6" s="11">
        <v>1.0</v>
      </c>
      <c r="C6" s="12">
        <v>2.0</v>
      </c>
      <c r="D6" s="11" t="s">
        <v>25</v>
      </c>
      <c r="E6" s="12">
        <v>1.0</v>
      </c>
      <c r="F6" s="11">
        <v>1.0</v>
      </c>
      <c r="G6" s="12" t="s">
        <v>25</v>
      </c>
      <c r="H6" s="11" t="s">
        <v>25</v>
      </c>
      <c r="I6" s="12" t="s">
        <v>25</v>
      </c>
      <c r="J6" s="11" t="s">
        <v>25</v>
      </c>
      <c r="K6" s="12">
        <v>2.0</v>
      </c>
      <c r="L6" s="12">
        <v>2.0</v>
      </c>
      <c r="M6" s="12">
        <v>2.0</v>
      </c>
      <c r="N6" s="11" t="s">
        <v>25</v>
      </c>
      <c r="O6" s="12">
        <v>1.0</v>
      </c>
      <c r="P6" s="11">
        <v>1.0</v>
      </c>
      <c r="Q6" s="12" t="s">
        <v>25</v>
      </c>
      <c r="R6" s="11">
        <v>1.0</v>
      </c>
      <c r="S6" s="12">
        <v>1.0</v>
      </c>
      <c r="T6" s="12">
        <v>2.0</v>
      </c>
      <c r="U6" s="12">
        <v>2.0</v>
      </c>
      <c r="V6" s="11">
        <v>1.0</v>
      </c>
      <c r="W6" s="18">
        <v>1.0</v>
      </c>
      <c r="X6" s="14" t="s">
        <v>25</v>
      </c>
      <c r="Y6" s="15"/>
      <c r="Z6" s="16"/>
    </row>
    <row r="7">
      <c r="A7" s="17" t="str">
        <f>Partidos!A7&amp;"-"&amp;Partidos!B7&amp;LEFT("...............",25-LEN(Partidos!A7&amp;"-"&amp;Partidos!B7))&amp;(ROW()-1)</f>
        <v>Mallorca-At.Madrid.......6</v>
      </c>
      <c r="B7" s="11">
        <v>2.0</v>
      </c>
      <c r="C7" s="12">
        <v>2.0</v>
      </c>
      <c r="D7" s="11">
        <v>2.0</v>
      </c>
      <c r="E7" s="12">
        <v>2.0</v>
      </c>
      <c r="F7" s="11">
        <v>2.0</v>
      </c>
      <c r="G7" s="12">
        <v>2.0</v>
      </c>
      <c r="H7" s="11">
        <v>1.0</v>
      </c>
      <c r="I7" s="12">
        <v>2.0</v>
      </c>
      <c r="J7" s="11">
        <v>2.0</v>
      </c>
      <c r="K7" s="12">
        <v>1.0</v>
      </c>
      <c r="L7" s="12">
        <v>2.0</v>
      </c>
      <c r="M7" s="12">
        <v>2.0</v>
      </c>
      <c r="N7" s="11">
        <v>2.0</v>
      </c>
      <c r="O7" s="12">
        <v>2.0</v>
      </c>
      <c r="P7" s="11">
        <v>2.0</v>
      </c>
      <c r="Q7" s="12">
        <v>2.0</v>
      </c>
      <c r="R7" s="11">
        <v>2.0</v>
      </c>
      <c r="S7" s="12">
        <v>1.0</v>
      </c>
      <c r="T7" s="12">
        <v>2.0</v>
      </c>
      <c r="U7" s="12">
        <v>2.0</v>
      </c>
      <c r="V7" s="11" t="s">
        <v>25</v>
      </c>
      <c r="W7" s="13" t="s">
        <v>25</v>
      </c>
      <c r="X7" s="14">
        <v>2.0</v>
      </c>
      <c r="Y7" s="15"/>
      <c r="Z7" s="16"/>
    </row>
    <row r="8">
      <c r="A8" s="17" t="str">
        <f>Partidos!A8&amp;"-"&amp;Partidos!B8&amp;LEFT("...............",25-LEN(Partidos!A8&amp;"-"&amp;Partidos!B8))&amp;(ROW()-1)</f>
        <v>Rayo Vallecano-Celta.....7</v>
      </c>
      <c r="B8" s="11">
        <v>1.0</v>
      </c>
      <c r="C8" s="12">
        <v>1.0</v>
      </c>
      <c r="D8" s="11">
        <v>1.0</v>
      </c>
      <c r="E8" s="12">
        <v>1.0</v>
      </c>
      <c r="F8" s="11">
        <v>1.0</v>
      </c>
      <c r="G8" s="12">
        <v>1.0</v>
      </c>
      <c r="H8" s="11">
        <v>1.0</v>
      </c>
      <c r="I8" s="12">
        <v>1.0</v>
      </c>
      <c r="J8" s="11">
        <v>1.0</v>
      </c>
      <c r="K8" s="12">
        <v>1.0</v>
      </c>
      <c r="L8" s="12">
        <v>1.0</v>
      </c>
      <c r="M8" s="12">
        <v>1.0</v>
      </c>
      <c r="N8" s="11">
        <v>1.0</v>
      </c>
      <c r="O8" s="12">
        <v>1.0</v>
      </c>
      <c r="P8" s="11">
        <v>2.0</v>
      </c>
      <c r="Q8" s="12">
        <v>1.0</v>
      </c>
      <c r="R8" s="11">
        <v>1.0</v>
      </c>
      <c r="S8" s="12">
        <v>1.0</v>
      </c>
      <c r="T8" s="12">
        <v>1.0</v>
      </c>
      <c r="U8" s="12">
        <v>1.0</v>
      </c>
      <c r="V8" s="11" t="s">
        <v>25</v>
      </c>
      <c r="W8" s="18">
        <v>1.0</v>
      </c>
      <c r="X8" s="14" t="s">
        <v>25</v>
      </c>
      <c r="Y8" s="15"/>
      <c r="Z8" s="16"/>
    </row>
    <row r="9">
      <c r="A9" s="19" t="str">
        <f>Partidos!A9&amp;"-"&amp;Partidos!B9&amp;LEFT("...............",25-LEN(Partidos!A9&amp;"-"&amp;Partidos!B9))&amp;(ROW()-1)</f>
        <v>R.Madrid-Espanyol........8</v>
      </c>
      <c r="B9" s="20">
        <v>1.0</v>
      </c>
      <c r="C9" s="21">
        <v>1.0</v>
      </c>
      <c r="D9" s="20">
        <v>1.0</v>
      </c>
      <c r="E9" s="21">
        <v>1.0</v>
      </c>
      <c r="F9" s="20">
        <v>1.0</v>
      </c>
      <c r="G9" s="21">
        <v>1.0</v>
      </c>
      <c r="H9" s="20">
        <v>1.0</v>
      </c>
      <c r="I9" s="21" t="s">
        <v>25</v>
      </c>
      <c r="J9" s="20">
        <v>1.0</v>
      </c>
      <c r="K9" s="21">
        <v>1.0</v>
      </c>
      <c r="L9" s="21">
        <v>1.0</v>
      </c>
      <c r="M9" s="21">
        <v>1.0</v>
      </c>
      <c r="N9" s="20">
        <v>1.0</v>
      </c>
      <c r="O9" s="21">
        <v>1.0</v>
      </c>
      <c r="P9" s="20">
        <v>1.0</v>
      </c>
      <c r="Q9" s="21">
        <v>1.0</v>
      </c>
      <c r="R9" s="20">
        <v>1.0</v>
      </c>
      <c r="S9" s="21">
        <v>1.0</v>
      </c>
      <c r="T9" s="21">
        <v>1.0</v>
      </c>
      <c r="U9" s="21">
        <v>1.0</v>
      </c>
      <c r="V9" s="20"/>
      <c r="W9" s="22">
        <v>1.0</v>
      </c>
      <c r="X9" s="23"/>
      <c r="Y9" s="24"/>
      <c r="Z9" s="25"/>
    </row>
    <row r="10">
      <c r="A10" s="17" t="str">
        <f>Partidos!A10&amp;"-"&amp;Partidos!B10&amp;LEFT("...............",25-LEN(Partidos!A10&amp;"-"&amp;Partidos!B10))&amp;(ROW()-1)</f>
        <v>Villarreal-Osasuna.......9</v>
      </c>
      <c r="B10" s="11">
        <v>1.0</v>
      </c>
      <c r="C10" s="12">
        <v>1.0</v>
      </c>
      <c r="D10" s="11">
        <v>1.0</v>
      </c>
      <c r="E10" s="12">
        <v>1.0</v>
      </c>
      <c r="F10" s="11">
        <v>1.0</v>
      </c>
      <c r="G10" s="12" t="s">
        <v>25</v>
      </c>
      <c r="H10" s="11">
        <v>1.0</v>
      </c>
      <c r="I10" s="12">
        <v>1.0</v>
      </c>
      <c r="J10" s="11">
        <v>1.0</v>
      </c>
      <c r="K10" s="12">
        <v>1.0</v>
      </c>
      <c r="L10" s="12">
        <v>1.0</v>
      </c>
      <c r="M10" s="12">
        <v>1.0</v>
      </c>
      <c r="N10" s="11">
        <v>1.0</v>
      </c>
      <c r="O10" s="12">
        <v>1.0</v>
      </c>
      <c r="P10" s="11">
        <v>1.0</v>
      </c>
      <c r="Q10" s="12">
        <v>1.0</v>
      </c>
      <c r="R10" s="11">
        <v>1.0</v>
      </c>
      <c r="S10" s="12">
        <v>1.0</v>
      </c>
      <c r="T10" s="12">
        <v>1.0</v>
      </c>
      <c r="U10" s="12">
        <v>1.0</v>
      </c>
      <c r="V10" s="11"/>
      <c r="W10" s="18">
        <v>1.0</v>
      </c>
      <c r="X10" s="16"/>
      <c r="Y10" s="15"/>
      <c r="Z10" s="16"/>
    </row>
    <row r="11">
      <c r="A11" s="17" t="str">
        <f>Partidos!A11&amp;"-"&amp;Partidos!B11&amp;LEFT("...............",25-LEN(Partidos!A11&amp;"-"&amp;Partidos!B11))&amp;(ROW()-1)</f>
        <v>Albacete-Valladolid......10</v>
      </c>
      <c r="B11" s="11">
        <v>2.0</v>
      </c>
      <c r="C11" s="12" t="s">
        <v>25</v>
      </c>
      <c r="D11" s="11">
        <v>2.0</v>
      </c>
      <c r="E11" s="12">
        <v>2.0</v>
      </c>
      <c r="F11" s="11">
        <v>2.0</v>
      </c>
      <c r="G11" s="12">
        <v>2.0</v>
      </c>
      <c r="H11" s="11">
        <v>2.0</v>
      </c>
      <c r="I11" s="12">
        <v>2.0</v>
      </c>
      <c r="J11" s="11" t="s">
        <v>25</v>
      </c>
      <c r="K11" s="12" t="s">
        <v>25</v>
      </c>
      <c r="L11" s="12" t="s">
        <v>25</v>
      </c>
      <c r="M11" s="12" t="s">
        <v>25</v>
      </c>
      <c r="N11" s="11">
        <v>2.0</v>
      </c>
      <c r="O11" s="12" t="s">
        <v>25</v>
      </c>
      <c r="P11" s="11" t="s">
        <v>25</v>
      </c>
      <c r="Q11" s="12" t="s">
        <v>25</v>
      </c>
      <c r="R11" s="11">
        <v>2.0</v>
      </c>
      <c r="S11" s="12">
        <v>2.0</v>
      </c>
      <c r="T11" s="12" t="s">
        <v>25</v>
      </c>
      <c r="U11" s="12" t="s">
        <v>25</v>
      </c>
      <c r="V11" s="11"/>
      <c r="W11" s="13">
        <v>2.0</v>
      </c>
      <c r="X11" s="14"/>
      <c r="Y11" s="15"/>
      <c r="Z11" s="16"/>
    </row>
    <row r="12">
      <c r="A12" s="19" t="str">
        <f>Partidos!A12&amp;"-"&amp;Partidos!B12&amp;LEFT("...............",25-LEN(Partidos!A12&amp;"-"&amp;Partidos!B12))&amp;(ROW()-1)</f>
        <v>Córdoba-Racing...........11</v>
      </c>
      <c r="B12" s="20" t="s">
        <v>25</v>
      </c>
      <c r="C12" s="21">
        <v>2.0</v>
      </c>
      <c r="D12" s="20">
        <v>2.0</v>
      </c>
      <c r="E12" s="21">
        <v>2.0</v>
      </c>
      <c r="F12" s="20">
        <v>2.0</v>
      </c>
      <c r="G12" s="21">
        <v>2.0</v>
      </c>
      <c r="H12" s="20">
        <v>2.0</v>
      </c>
      <c r="I12" s="21" t="s">
        <v>25</v>
      </c>
      <c r="J12" s="20">
        <v>2.0</v>
      </c>
      <c r="K12" s="21" t="s">
        <v>25</v>
      </c>
      <c r="L12" s="21">
        <v>2.0</v>
      </c>
      <c r="M12" s="21" t="s">
        <v>25</v>
      </c>
      <c r="N12" s="20">
        <v>1.0</v>
      </c>
      <c r="O12" s="21">
        <v>1.0</v>
      </c>
      <c r="P12" s="20">
        <v>1.0</v>
      </c>
      <c r="Q12" s="21" t="s">
        <v>25</v>
      </c>
      <c r="R12" s="20">
        <v>2.0</v>
      </c>
      <c r="S12" s="21">
        <v>2.0</v>
      </c>
      <c r="T12" s="21">
        <v>2.0</v>
      </c>
      <c r="U12" s="21">
        <v>2.0</v>
      </c>
      <c r="V12" s="20" t="s">
        <v>25</v>
      </c>
      <c r="W12" s="26" t="s">
        <v>25</v>
      </c>
      <c r="X12" s="23">
        <v>2.0</v>
      </c>
      <c r="Y12" s="24"/>
      <c r="Z12" s="25"/>
    </row>
    <row r="13">
      <c r="A13" s="17" t="str">
        <f>Partidos!A13&amp;"-"&amp;Partidos!B13&amp;LEFT("...............",25-LEN(Partidos!A13&amp;"-"&amp;Partidos!B13))&amp;(ROW()-1)</f>
        <v>Deportivo-Huesca.........12</v>
      </c>
      <c r="B13" s="11">
        <v>1.0</v>
      </c>
      <c r="C13" s="12">
        <v>1.0</v>
      </c>
      <c r="D13" s="11">
        <v>1.0</v>
      </c>
      <c r="E13" s="12">
        <v>1.0</v>
      </c>
      <c r="F13" s="11">
        <v>1.0</v>
      </c>
      <c r="G13" s="12">
        <v>1.0</v>
      </c>
      <c r="H13" s="11">
        <v>1.0</v>
      </c>
      <c r="I13" s="12">
        <v>1.0</v>
      </c>
      <c r="J13" s="11">
        <v>1.0</v>
      </c>
      <c r="K13" s="12">
        <v>2.0</v>
      </c>
      <c r="L13" s="12">
        <v>1.0</v>
      </c>
      <c r="M13" s="12">
        <v>1.0</v>
      </c>
      <c r="N13" s="11">
        <v>1.0</v>
      </c>
      <c r="O13" s="12">
        <v>1.0</v>
      </c>
      <c r="P13" s="11">
        <v>1.0</v>
      </c>
      <c r="Q13" s="12">
        <v>1.0</v>
      </c>
      <c r="R13" s="11" t="s">
        <v>25</v>
      </c>
      <c r="S13" s="12">
        <v>1.0</v>
      </c>
      <c r="T13" s="12">
        <v>1.0</v>
      </c>
      <c r="U13" s="12">
        <v>1.0</v>
      </c>
      <c r="V13" s="11"/>
      <c r="W13" s="18">
        <v>1.0</v>
      </c>
      <c r="X13" s="14"/>
      <c r="Y13" s="15"/>
      <c r="Z13" s="16"/>
    </row>
    <row r="14">
      <c r="A14" s="17" t="str">
        <f>Partidos!A14&amp;"-"&amp;Partidos!B14&amp;LEFT("...............",25-LEN(Partidos!A14&amp;"-"&amp;Partidos!B14))&amp;(ROW()-1)</f>
        <v>Almería-Sporting.........13</v>
      </c>
      <c r="B14" s="11">
        <v>2.0</v>
      </c>
      <c r="C14" s="12">
        <v>1.0</v>
      </c>
      <c r="D14" s="11">
        <v>1.0</v>
      </c>
      <c r="E14" s="12">
        <v>1.0</v>
      </c>
      <c r="F14" s="11">
        <v>1.0</v>
      </c>
      <c r="G14" s="12">
        <v>2.0</v>
      </c>
      <c r="H14" s="11">
        <v>1.0</v>
      </c>
      <c r="I14" s="12">
        <v>1.0</v>
      </c>
      <c r="J14" s="11">
        <v>1.0</v>
      </c>
      <c r="K14" s="12">
        <v>1.0</v>
      </c>
      <c r="L14" s="12" t="s">
        <v>25</v>
      </c>
      <c r="M14" s="12" t="s">
        <v>25</v>
      </c>
      <c r="N14" s="11" t="s">
        <v>26</v>
      </c>
      <c r="O14" s="12">
        <v>2.0</v>
      </c>
      <c r="P14" s="11" t="s">
        <v>25</v>
      </c>
      <c r="Q14" s="12">
        <v>2.0</v>
      </c>
      <c r="R14" s="11" t="s">
        <v>25</v>
      </c>
      <c r="S14" s="12" t="s">
        <v>25</v>
      </c>
      <c r="T14" s="12">
        <v>1.0</v>
      </c>
      <c r="U14" s="12">
        <v>1.0</v>
      </c>
      <c r="V14" s="11"/>
      <c r="W14" s="18">
        <v>1.0</v>
      </c>
      <c r="X14" s="14"/>
      <c r="Y14" s="15"/>
      <c r="Z14" s="16"/>
    </row>
    <row r="15" ht="4.5" customHeight="1">
      <c r="A15" s="19" t="str">
        <f>Partidos!A15&amp;"-"&amp;Partidos!B15&amp;LEFT("...................",25-LEN(Partidos!A15&amp;"-"&amp;Partidos!B15))&amp;(ROW()-1)</f>
        <v>Málaga-Cádiz.............14</v>
      </c>
      <c r="B15" s="20" t="s">
        <v>25</v>
      </c>
      <c r="C15" s="21">
        <v>2.0</v>
      </c>
      <c r="D15" s="20">
        <v>2.0</v>
      </c>
      <c r="E15" s="21" t="s">
        <v>25</v>
      </c>
      <c r="F15" s="20" t="s">
        <v>25</v>
      </c>
      <c r="G15" s="21">
        <v>2.0</v>
      </c>
      <c r="H15" s="20">
        <v>2.0</v>
      </c>
      <c r="I15" s="21">
        <v>1.0</v>
      </c>
      <c r="J15" s="20" t="s">
        <v>25</v>
      </c>
      <c r="K15" s="21" t="s">
        <v>25</v>
      </c>
      <c r="L15" s="21">
        <v>2.0</v>
      </c>
      <c r="M15" s="21">
        <v>1.0</v>
      </c>
      <c r="N15" s="20">
        <v>1.0</v>
      </c>
      <c r="O15" s="21">
        <v>1.0</v>
      </c>
      <c r="P15" s="20">
        <v>1.0</v>
      </c>
      <c r="Q15" s="27">
        <v>1.0</v>
      </c>
      <c r="R15" s="20" t="s">
        <v>25</v>
      </c>
      <c r="S15" s="21" t="s">
        <v>25</v>
      </c>
      <c r="T15" s="21">
        <v>2.0</v>
      </c>
      <c r="U15" s="21">
        <v>2.0</v>
      </c>
      <c r="V15" s="20" t="s">
        <v>25</v>
      </c>
      <c r="W15" s="22" t="s">
        <v>25</v>
      </c>
      <c r="X15" s="23">
        <v>2.0</v>
      </c>
      <c r="Y15" s="24"/>
      <c r="Z15" s="25"/>
    </row>
    <row r="16" ht="1.5" customHeight="1">
      <c r="A16" s="28"/>
      <c r="B16" s="29"/>
      <c r="V16" s="30"/>
      <c r="W16" s="29"/>
      <c r="X16" s="29"/>
      <c r="Y16" s="29"/>
      <c r="Z16" s="29"/>
    </row>
    <row r="17">
      <c r="A17" s="31" t="str">
        <f>Partidos!A16&amp;"-"&amp;Partidos!B16&amp;LEFT("...............",25-LEN(Partidos!A16&amp;"-"&amp;Partidos!B16))&amp;(ROW()-2)</f>
        <v>Valencia-Athletic Club...15</v>
      </c>
      <c r="B17" s="32"/>
      <c r="C17" s="33"/>
      <c r="D17" s="32"/>
      <c r="E17" s="33"/>
      <c r="F17" s="32"/>
      <c r="G17" s="33"/>
      <c r="H17" s="32"/>
      <c r="I17" s="33"/>
      <c r="J17" s="32"/>
      <c r="K17" s="33"/>
      <c r="L17" s="32"/>
      <c r="M17" s="33"/>
      <c r="N17" s="32"/>
      <c r="O17" s="33"/>
      <c r="P17" s="32"/>
      <c r="Q17" s="33"/>
      <c r="R17" s="32"/>
      <c r="S17" s="33"/>
      <c r="T17" s="34"/>
      <c r="U17" s="35">
        <v>2.0</v>
      </c>
      <c r="V17" s="36">
        <v>1.0</v>
      </c>
      <c r="W17" s="37"/>
      <c r="X17" s="37"/>
      <c r="Y17" s="37"/>
      <c r="Z17" s="37"/>
    </row>
    <row r="18" ht="4.5" customHeight="1">
      <c r="A18" s="38"/>
      <c r="B18" s="39"/>
      <c r="C18" s="40"/>
      <c r="D18" s="39"/>
      <c r="E18" s="40"/>
      <c r="F18" s="40"/>
      <c r="G18" s="40"/>
      <c r="H18" s="40"/>
      <c r="I18" s="40"/>
      <c r="J18" s="40"/>
      <c r="K18" s="40"/>
      <c r="L18" s="40"/>
      <c r="M18" s="40"/>
      <c r="N18" s="40"/>
      <c r="O18" s="40"/>
      <c r="P18" s="40"/>
      <c r="Q18" s="40"/>
      <c r="R18" s="40"/>
      <c r="S18" s="40"/>
      <c r="T18" s="41"/>
      <c r="U18" s="42"/>
      <c r="V18" s="43"/>
      <c r="W18" s="44"/>
      <c r="X18" s="43"/>
      <c r="Y18" s="44"/>
      <c r="Z18" s="43"/>
    </row>
    <row r="19">
      <c r="A19" s="5" t="s">
        <v>27</v>
      </c>
      <c r="B19" s="45">
        <f t="shared" ref="B19:T19" si="1">SUM(B23:B38)</f>
        <v>8</v>
      </c>
      <c r="C19" s="45">
        <f t="shared" si="1"/>
        <v>10</v>
      </c>
      <c r="D19" s="45">
        <f t="shared" si="1"/>
        <v>8</v>
      </c>
      <c r="E19" s="45">
        <f t="shared" si="1"/>
        <v>7</v>
      </c>
      <c r="F19" s="45">
        <f t="shared" si="1"/>
        <v>8</v>
      </c>
      <c r="G19" s="45">
        <f t="shared" si="1"/>
        <v>6</v>
      </c>
      <c r="H19" s="45">
        <f t="shared" si="1"/>
        <v>6</v>
      </c>
      <c r="I19" s="45">
        <f t="shared" si="1"/>
        <v>5</v>
      </c>
      <c r="J19" s="45">
        <f t="shared" si="1"/>
        <v>7</v>
      </c>
      <c r="K19" s="45">
        <f t="shared" si="1"/>
        <v>8</v>
      </c>
      <c r="L19" s="45">
        <f t="shared" si="1"/>
        <v>9</v>
      </c>
      <c r="M19" s="45">
        <f t="shared" si="1"/>
        <v>7</v>
      </c>
      <c r="N19" s="45">
        <f t="shared" si="1"/>
        <v>5</v>
      </c>
      <c r="O19" s="45">
        <f t="shared" si="1"/>
        <v>5</v>
      </c>
      <c r="P19" s="45">
        <f t="shared" si="1"/>
        <v>7</v>
      </c>
      <c r="Q19" s="45">
        <f t="shared" si="1"/>
        <v>7</v>
      </c>
      <c r="R19" s="45">
        <f t="shared" si="1"/>
        <v>5</v>
      </c>
      <c r="S19" s="45">
        <f t="shared" si="1"/>
        <v>5</v>
      </c>
      <c r="T19" s="45">
        <f t="shared" si="1"/>
        <v>9</v>
      </c>
      <c r="U19" s="46">
        <f>SUM(U23:V38)</f>
        <v>13</v>
      </c>
      <c r="V19" s="47"/>
      <c r="W19" s="46">
        <f>SUM(W23:X38)</f>
        <v>12</v>
      </c>
      <c r="X19" s="47"/>
      <c r="Y19" s="48">
        <f>SUM(Y23:Z38)</f>
        <v>0</v>
      </c>
      <c r="Z19" s="47"/>
    </row>
    <row r="20">
      <c r="A20" s="5" t="s">
        <v>28</v>
      </c>
      <c r="B20" s="49">
        <f t="shared" ref="B20:Q20" si="2">IF(COUNTIF(B2:B15,1)=10,"+0,10",IF(COUNTIF(B2:B15,1)=11,"+0,20",IF(COUNTIF(B2:B15,1)=12,"+0,30",IF(COUNTIF(B2:B15,1)=13,"+0,40",IF(COUNTIF(B2:B15,1)=14,"+0,50",COUNTIF(B2:B15,1))))))</f>
        <v>8</v>
      </c>
      <c r="C20" s="49">
        <f t="shared" si="2"/>
        <v>8</v>
      </c>
      <c r="D20" s="49">
        <f t="shared" si="2"/>
        <v>8</v>
      </c>
      <c r="E20" s="49">
        <f t="shared" si="2"/>
        <v>9</v>
      </c>
      <c r="F20" s="49">
        <f t="shared" si="2"/>
        <v>9</v>
      </c>
      <c r="G20" s="49">
        <f t="shared" si="2"/>
        <v>7</v>
      </c>
      <c r="H20" s="49">
        <f t="shared" si="2"/>
        <v>8</v>
      </c>
      <c r="I20" s="49">
        <f t="shared" si="2"/>
        <v>7</v>
      </c>
      <c r="J20" s="49">
        <f t="shared" si="2"/>
        <v>7</v>
      </c>
      <c r="K20" s="49">
        <f t="shared" si="2"/>
        <v>7</v>
      </c>
      <c r="L20" s="49">
        <f t="shared" si="2"/>
        <v>7</v>
      </c>
      <c r="M20" s="49">
        <f t="shared" si="2"/>
        <v>8</v>
      </c>
      <c r="N20" s="49">
        <f t="shared" si="2"/>
        <v>9</v>
      </c>
      <c r="O20" s="49">
        <f t="shared" si="2"/>
        <v>8</v>
      </c>
      <c r="P20" s="49">
        <f t="shared" si="2"/>
        <v>9</v>
      </c>
      <c r="Q20" s="49">
        <f t="shared" si="2"/>
        <v>7</v>
      </c>
      <c r="R20" s="49">
        <f>IF(COUNTIF(R1:R15,1)=10,"+0,10",IF(COUNTIF(R1:R15,1)=11,"+0,20",IF(COUNTIF(R1:R15,1)=12,"+0,30",IF(COUNTIF(R1:R15,1)=13,"+0,40",IF(COUNTIF(R1:R15,1)=14,"+0,50",COUNTIF(R1:R15,1))))))</f>
        <v>7</v>
      </c>
      <c r="S20" s="49">
        <f t="shared" ref="S20:T20" si="3">IF(COUNTIF(S2:S15,1)=10,"+0,10",IF(COUNTIF(S2:S15,1)=11,"+0,20",IF(COUNTIF(S2:S15,1)=12,"+0,30",IF(COUNTIF(S2:S15,1)=13,"+0,40",IF(COUNTIF(S2:S15,1)=14,"+0,50",COUNTIF(S2:S15,1))))))</f>
        <v>8</v>
      </c>
      <c r="T20" s="50">
        <f t="shared" si="3"/>
        <v>8</v>
      </c>
      <c r="U20" s="51"/>
      <c r="V20" s="51"/>
      <c r="W20" s="51"/>
      <c r="X20" s="51"/>
      <c r="Y20" s="51"/>
      <c r="Z20" s="51"/>
    </row>
    <row r="21" hidden="1">
      <c r="A21" s="38"/>
      <c r="B21" s="38"/>
      <c r="C21" s="38"/>
      <c r="D21" s="41"/>
      <c r="E21" s="38"/>
      <c r="F21" s="38"/>
      <c r="G21" s="38"/>
      <c r="H21" s="38"/>
      <c r="I21" s="38"/>
      <c r="J21" s="38"/>
      <c r="K21" s="38"/>
      <c r="L21" s="38"/>
      <c r="M21" s="38"/>
      <c r="N21" s="38"/>
      <c r="O21" s="38"/>
      <c r="P21" s="38"/>
      <c r="Q21" s="38"/>
      <c r="R21" s="38"/>
      <c r="S21" s="38"/>
      <c r="T21" s="41"/>
      <c r="U21" s="41"/>
      <c r="V21" s="41"/>
      <c r="W21" s="41"/>
      <c r="X21" s="41"/>
      <c r="Y21" s="41"/>
      <c r="Z21" s="41"/>
    </row>
    <row r="22" hidden="1">
      <c r="A22" s="38"/>
      <c r="B22" s="38"/>
      <c r="C22" s="38"/>
      <c r="D22" s="41"/>
      <c r="E22" s="38"/>
      <c r="F22" s="38"/>
      <c r="G22" s="38"/>
      <c r="H22" s="38"/>
      <c r="I22" s="38"/>
      <c r="J22" s="38"/>
      <c r="K22" s="38"/>
      <c r="L22" s="38"/>
      <c r="M22" s="38"/>
      <c r="N22" s="38"/>
      <c r="O22" s="38"/>
      <c r="P22" s="38"/>
      <c r="Q22" s="38"/>
      <c r="R22" s="38"/>
      <c r="S22" s="38"/>
      <c r="T22" s="41"/>
      <c r="U22" s="41"/>
      <c r="V22" s="41"/>
      <c r="W22" s="41"/>
      <c r="X22" s="41"/>
      <c r="Y22" s="41"/>
      <c r="Z22" s="41"/>
    </row>
    <row r="23" hidden="1">
      <c r="A23" s="38"/>
      <c r="B23" s="41">
        <f>if(B2="","",if(B2=Partidos!$C2,1,0))</f>
        <v>1</v>
      </c>
      <c r="C23" s="41">
        <f>if(C2="","",if(C2=Partidos!$C2,1,0))</f>
        <v>1</v>
      </c>
      <c r="D23" s="41">
        <f>if(D2="","",if(D2=Partidos!$C2,1,0))</f>
        <v>0</v>
      </c>
      <c r="E23" s="41">
        <f>if(E2="","",if(E2=Partidos!$C2,1,0))</f>
        <v>0</v>
      </c>
      <c r="F23" s="41">
        <f>if(F2="","",if(F2=Partidos!$C2,1,0))</f>
        <v>1</v>
      </c>
      <c r="G23" s="41">
        <f>if(G2="","",if(G2=Partidos!$C2,1,0))</f>
        <v>0</v>
      </c>
      <c r="H23" s="41">
        <f>if(H2="","",if(H2=Partidos!$C2,1,0))</f>
        <v>0</v>
      </c>
      <c r="I23" s="41">
        <f>if(I2="","",if(I2=Partidos!$C2,1,0))</f>
        <v>0</v>
      </c>
      <c r="J23" s="41">
        <f>if(J2="","",if(J2=Partidos!$C2,1,0))</f>
        <v>1</v>
      </c>
      <c r="K23" s="41">
        <f>if(K2="","",if(K2=Partidos!$C2,1,0))</f>
        <v>1</v>
      </c>
      <c r="L23" s="41">
        <f>if(L2="","",if(L2=Partidos!$C2,1,0))</f>
        <v>1</v>
      </c>
      <c r="M23" s="41">
        <f>if(M2="","",if(M2=Partidos!$C2,1,0))</f>
        <v>0</v>
      </c>
      <c r="N23" s="41">
        <f>if(N2="","",if(N2=Partidos!$C2,1,0))</f>
        <v>0</v>
      </c>
      <c r="O23" s="41">
        <f>if(O2="","",if(O2=Partidos!$C2,1,0))</f>
        <v>1</v>
      </c>
      <c r="P23" s="41">
        <f>if(P2="","",if(P2=Partidos!$C2,1,0))</f>
        <v>1</v>
      </c>
      <c r="Q23" s="41">
        <f>if(Q2="","",if(Q2=Partidos!$C2,1,0))</f>
        <v>1</v>
      </c>
      <c r="R23" s="41">
        <f>if(R2="","",if(R2=Partidos!$C2,1,0))</f>
        <v>0</v>
      </c>
      <c r="S23" s="41">
        <f>if(S2="","",if(S2=Partidos!$C2,1,0))</f>
        <v>0</v>
      </c>
      <c r="T23" s="41">
        <f>if(T2="","",if(T2=Partidos!$C2,1,0))</f>
        <v>0</v>
      </c>
      <c r="U23" s="41">
        <f>if(U2="","",if(U2=Partidos!$C2,1,0))</f>
        <v>1</v>
      </c>
      <c r="V23" s="41">
        <f>if(V2="","",if(V2=Partidos!$C2,1,0))</f>
        <v>0</v>
      </c>
      <c r="W23" s="41">
        <f>if(W2="","",if(W2=Partidos!$C2,1,0))</f>
        <v>0</v>
      </c>
      <c r="X23" s="41">
        <f>if(X2="","",if(X2=Partidos!$C2,1,0))</f>
        <v>1</v>
      </c>
      <c r="Y23" s="41" t="str">
        <f>if(Y2="","",if(Y2=Partidos!$C2,1,0))</f>
        <v/>
      </c>
      <c r="Z23" s="41" t="str">
        <f>if(Z2="","",if(Z2=Partidos!$C2,1,0))</f>
        <v/>
      </c>
    </row>
    <row r="24" ht="14.25" hidden="1" customHeight="1">
      <c r="A24" s="38"/>
      <c r="B24" s="41">
        <f>if(B3="","",if(B3=Partidos!$C3,1,0))</f>
        <v>1</v>
      </c>
      <c r="C24" s="41">
        <f>if(C3="","",if(C3=Partidos!$C3,1,0))</f>
        <v>1</v>
      </c>
      <c r="D24" s="41">
        <f>if(D3="","",if(D3=Partidos!$C3,1,0))</f>
        <v>1</v>
      </c>
      <c r="E24" s="41">
        <f>if(E3="","",if(E3=Partidos!$C3,1,0))</f>
        <v>1</v>
      </c>
      <c r="F24" s="41">
        <f>if(F3="","",if(F3=Partidos!$C3,1,0))</f>
        <v>1</v>
      </c>
      <c r="G24" s="41">
        <f>if(G3="","",if(G3=Partidos!$C3,1,0))</f>
        <v>1</v>
      </c>
      <c r="H24" s="41">
        <f>if(H3="","",if(H3=Partidos!$C3,1,0))</f>
        <v>1</v>
      </c>
      <c r="I24" s="41">
        <f>if(I3="","",if(I3=Partidos!$C3,1,0))</f>
        <v>0</v>
      </c>
      <c r="J24" s="41">
        <f>if(J3="","",if(J3=Partidos!$C3,1,0))</f>
        <v>1</v>
      </c>
      <c r="K24" s="41">
        <f>if(K3="","",if(K3=Partidos!$C3,1,0))</f>
        <v>1</v>
      </c>
      <c r="L24" s="41">
        <f>if(L3="","",if(L3=Partidos!$C3,1,0))</f>
        <v>1</v>
      </c>
      <c r="M24" s="41">
        <f>if(M3="","",if(M3=Partidos!$C3,1,0))</f>
        <v>0</v>
      </c>
      <c r="N24" s="41">
        <f>if(N3="","",if(N3=Partidos!$C3,1,0))</f>
        <v>1</v>
      </c>
      <c r="O24" s="41">
        <f>if(O3="","",if(O3=Partidos!$C3,1,0))</f>
        <v>1</v>
      </c>
      <c r="P24" s="41">
        <f>if(P3="","",if(P3=Partidos!$C3,1,0))</f>
        <v>1</v>
      </c>
      <c r="Q24" s="41">
        <f>if(Q3="","",if(Q3=Partidos!$C3,1,0))</f>
        <v>1</v>
      </c>
      <c r="R24" s="41">
        <f>if(R3="","",if(R3=Partidos!$C3,1,0))</f>
        <v>1</v>
      </c>
      <c r="S24" s="41">
        <f>if(S3="","",if(S3=Partidos!$C3,1,0))</f>
        <v>1</v>
      </c>
      <c r="T24" s="41">
        <f>if(T3="","",if(T3=Partidos!$C3,1,0))</f>
        <v>1</v>
      </c>
      <c r="U24" s="41">
        <f>if(U3="","",if(U3=Partidos!$C3,1,0))</f>
        <v>1</v>
      </c>
      <c r="V24" s="41" t="str">
        <f>if(V3="","",if(V3=Partidos!$C3,1,0))</f>
        <v/>
      </c>
      <c r="W24" s="41">
        <f>if(W3="","",if(W3=Partidos!$C3,1,0))</f>
        <v>1</v>
      </c>
      <c r="X24" s="41" t="str">
        <f>if(X3="","",if(X3=Partidos!$C3,1,0))</f>
        <v/>
      </c>
      <c r="Y24" s="41" t="str">
        <f>if(Y3="","",if(Y3=Partidos!$C3,1,0))</f>
        <v/>
      </c>
      <c r="Z24" s="41" t="str">
        <f>if(Z3="","",if(Z3=Partidos!$C3,1,0))</f>
        <v/>
      </c>
    </row>
    <row r="25" hidden="1">
      <c r="A25" s="38"/>
      <c r="B25" s="41">
        <f>if(B4="","",if(B4=Partidos!$C4,1,0))</f>
        <v>1</v>
      </c>
      <c r="C25" s="41">
        <f>if(C4="","",if(C4=Partidos!$C4,1,0))</f>
        <v>1</v>
      </c>
      <c r="D25" s="41">
        <f>if(D4="","",if(D4=Partidos!$C4,1,0))</f>
        <v>1</v>
      </c>
      <c r="E25" s="41">
        <f>if(E4="","",if(E4=Partidos!$C4,1,0))</f>
        <v>1</v>
      </c>
      <c r="F25" s="41">
        <f>if(F4="","",if(F4=Partidos!$C4,1,0))</f>
        <v>1</v>
      </c>
      <c r="G25" s="41">
        <f>if(G4="","",if(G4=Partidos!$C4,1,0))</f>
        <v>1</v>
      </c>
      <c r="H25" s="41">
        <f>if(H4="","",if(H4=Partidos!$C4,1,0))</f>
        <v>0</v>
      </c>
      <c r="I25" s="41">
        <f>if(I4="","",if(I4=Partidos!$C4,1,0))</f>
        <v>0</v>
      </c>
      <c r="J25" s="41">
        <f>if(J4="","",if(J4=Partidos!$C4,1,0))</f>
        <v>0</v>
      </c>
      <c r="K25" s="41">
        <f>if(K4="","",if(K4=Partidos!$C4,1,0))</f>
        <v>1</v>
      </c>
      <c r="L25" s="41">
        <f>if(L4="","",if(L4=Partidos!$C4,1,0))</f>
        <v>1</v>
      </c>
      <c r="M25" s="41">
        <f>if(M4="","",if(M4=Partidos!$C4,1,0))</f>
        <v>1</v>
      </c>
      <c r="N25" s="41">
        <f>if(N4="","",if(N4=Partidos!$C4,1,0))</f>
        <v>0</v>
      </c>
      <c r="O25" s="41">
        <f>if(O4="","",if(O4=Partidos!$C4,1,0))</f>
        <v>0</v>
      </c>
      <c r="P25" s="41">
        <f>if(P4="","",if(P4=Partidos!$C4,1,0))</f>
        <v>1</v>
      </c>
      <c r="Q25" s="41">
        <f>if(Q4="","",if(Q4=Partidos!$C4,1,0))</f>
        <v>1</v>
      </c>
      <c r="R25" s="41">
        <f>if(R4="","",if(R4=Partidos!$C4,1,0))</f>
        <v>1</v>
      </c>
      <c r="S25" s="41">
        <f>if(S4="","",if(S4=Partidos!$C4,1,0))</f>
        <v>1</v>
      </c>
      <c r="T25" s="41">
        <f>if(T4="","",if(T4=Partidos!$C4,1,0))</f>
        <v>1</v>
      </c>
      <c r="U25" s="41">
        <f>if(U4="","",if(U4=Partidos!$C4,1,0))</f>
        <v>1</v>
      </c>
      <c r="V25" s="41" t="str">
        <f>if(V4="","",if(V4=Partidos!$C4,1,0))</f>
        <v/>
      </c>
      <c r="W25" s="41">
        <f>if(W4="","",if(W4=Partidos!$C4,1,0))</f>
        <v>1</v>
      </c>
      <c r="X25" s="41" t="str">
        <f>if(X4="","",if(X4=Partidos!$C4,1,0))</f>
        <v/>
      </c>
      <c r="Y25" s="41" t="str">
        <f>if(Y4="","",if(Y4=Partidos!$C4,1,0))</f>
        <v/>
      </c>
      <c r="Z25" s="41" t="str">
        <f>if(Z4="","",if(Z4=Partidos!$C4,1,0))</f>
        <v/>
      </c>
    </row>
    <row r="26" hidden="1">
      <c r="A26" s="38"/>
      <c r="B26" s="52">
        <f>if(B5="","",if(B5=Partidos!$C5,1,0))</f>
        <v>1</v>
      </c>
      <c r="C26" s="52">
        <f>if(C5="","",if(C5=Partidos!$C5,1,0))</f>
        <v>1</v>
      </c>
      <c r="D26" s="52">
        <f>if(D5="","",if(D5=Partidos!$C5,1,0))</f>
        <v>1</v>
      </c>
      <c r="E26" s="52">
        <f>if(E5="","",if(E5=Partidos!$C5,1,0))</f>
        <v>1</v>
      </c>
      <c r="F26" s="52">
        <f>if(F5="","",if(F5=Partidos!$C5,1,0))</f>
        <v>1</v>
      </c>
      <c r="G26" s="52">
        <f>if(G5="","",if(G5=Partidos!$C5,1,0))</f>
        <v>1</v>
      </c>
      <c r="H26" s="52">
        <f>if(H5="","",if(H5=Partidos!$C5,1,0))</f>
        <v>0</v>
      </c>
      <c r="I26" s="52">
        <f>if(I5="","",if(I5=Partidos!$C5,1,0))</f>
        <v>1</v>
      </c>
      <c r="J26" s="52">
        <f>if(J5="","",if(J5=Partidos!$C5,1,0))</f>
        <v>1</v>
      </c>
      <c r="K26" s="52">
        <f>if(K5="","",if(K5=Partidos!$C5,1,0))</f>
        <v>0</v>
      </c>
      <c r="L26" s="52">
        <f>if(L5="","",if(L5=Partidos!$C5,1,0))</f>
        <v>1</v>
      </c>
      <c r="M26" s="52">
        <f>if(M5="","",if(M5=Partidos!$C5,1,0))</f>
        <v>1</v>
      </c>
      <c r="N26" s="52">
        <f>if(N5="","",if(N5=Partidos!$C5,1,0))</f>
        <v>1</v>
      </c>
      <c r="O26" s="52">
        <f>if(O5="","",if(O5=Partidos!$C5,1,0))</f>
        <v>0</v>
      </c>
      <c r="P26" s="52">
        <f>if(P5="","",if(P5=Partidos!$C5,1,0))</f>
        <v>1</v>
      </c>
      <c r="Q26" s="52">
        <f>if(Q5="","",if(Q5=Partidos!$C5,1,0))</f>
        <v>0</v>
      </c>
      <c r="R26" s="52">
        <f>if(R5="","",if(R5=Partidos!$C5,1,0))</f>
        <v>1</v>
      </c>
      <c r="S26" s="52">
        <f>if(S5="","",if(S5=Partidos!$C5,1,0))</f>
        <v>0</v>
      </c>
      <c r="T26" s="52">
        <f>if(T5="","",if(T5=Partidos!$C5,1,0))</f>
        <v>1</v>
      </c>
      <c r="U26" s="52">
        <f>if(U5="","",if(U5=Partidos!$C5,1,0))</f>
        <v>1</v>
      </c>
      <c r="V26" s="52">
        <f>if(V5="","",if(V5=Partidos!$C5,1,0))</f>
        <v>0</v>
      </c>
      <c r="W26" s="52">
        <f>if(W5="","",if(W5=Partidos!$C5,1,0))</f>
        <v>1</v>
      </c>
      <c r="X26" s="52">
        <f>if(X5="","",if(X5=Partidos!$C5,1,0))</f>
        <v>0</v>
      </c>
      <c r="Y26" s="52" t="str">
        <f>if(Y5="","",if(Y5=Partidos!$C5,1,0))</f>
        <v/>
      </c>
      <c r="Z26" s="52" t="str">
        <f>if(Z5="","",if(Z5=Partidos!$C5,1,0))</f>
        <v/>
      </c>
    </row>
    <row r="27" hidden="1">
      <c r="A27" s="38"/>
      <c r="B27" s="41">
        <f>if(B6="","",if(B6=Partidos!$C6,1,0))</f>
        <v>0</v>
      </c>
      <c r="C27" s="41">
        <f>if(C6="","",if(C6=Partidos!$C6,1,0))</f>
        <v>1</v>
      </c>
      <c r="D27" s="41">
        <f>if(D6="","",if(D6=Partidos!$C6,1,0))</f>
        <v>0</v>
      </c>
      <c r="E27" s="41">
        <f>if(E6="","",if(E6=Partidos!$C6,1,0))</f>
        <v>0</v>
      </c>
      <c r="F27" s="41">
        <f>if(F6="","",if(F6=Partidos!$C6,1,0))</f>
        <v>0</v>
      </c>
      <c r="G27" s="41">
        <f>if(G6="","",if(G6=Partidos!$C6,1,0))</f>
        <v>0</v>
      </c>
      <c r="H27" s="41">
        <f>if(H6="","",if(H6=Partidos!$C6,1,0))</f>
        <v>0</v>
      </c>
      <c r="I27" s="41">
        <f>if(I6="","",if(I6=Partidos!$C6,1,0))</f>
        <v>0</v>
      </c>
      <c r="J27" s="41">
        <f>if(J6="","",if(J6=Partidos!$C6,1,0))</f>
        <v>0</v>
      </c>
      <c r="K27" s="41">
        <f>if(K6="","",if(K6=Partidos!$C6,1,0))</f>
        <v>1</v>
      </c>
      <c r="L27" s="41">
        <f>if(L6="","",if(L6=Partidos!$C6,1,0))</f>
        <v>1</v>
      </c>
      <c r="M27" s="41">
        <f>if(M6="","",if(M6=Partidos!$C6,1,0))</f>
        <v>1</v>
      </c>
      <c r="N27" s="41">
        <f>if(N6="","",if(N6=Partidos!$C6,1,0))</f>
        <v>0</v>
      </c>
      <c r="O27" s="41">
        <f>if(O6="","",if(O6=Partidos!$C6,1,0))</f>
        <v>0</v>
      </c>
      <c r="P27" s="41">
        <f>if(P6="","",if(P6=Partidos!$C6,1,0))</f>
        <v>0</v>
      </c>
      <c r="Q27" s="41">
        <f>if(Q6="","",if(Q6=Partidos!$C6,1,0))</f>
        <v>0</v>
      </c>
      <c r="R27" s="41">
        <f>if(R6="","",if(R6=Partidos!$C6,1,0))</f>
        <v>0</v>
      </c>
      <c r="S27" s="41">
        <f>if(S6="","",if(S6=Partidos!$C6,1,0))</f>
        <v>0</v>
      </c>
      <c r="T27" s="41">
        <f>if(T6="","",if(T6=Partidos!$C6,1,0))</f>
        <v>1</v>
      </c>
      <c r="U27" s="41">
        <f>if(U6="","",if(U6=Partidos!$C6,1,0))</f>
        <v>1</v>
      </c>
      <c r="V27" s="41">
        <f>if(V6="","",if(V6=Partidos!$C6,1,0))</f>
        <v>0</v>
      </c>
      <c r="W27" s="41">
        <f>if(W6="","",if(W6=Partidos!$C6,1,0))</f>
        <v>0</v>
      </c>
      <c r="X27" s="41">
        <f>if(X6="","",if(X6=Partidos!$C6,1,0))</f>
        <v>0</v>
      </c>
      <c r="Y27" s="41" t="str">
        <f>if(Y6="","",if(Y6=Partidos!$C6,1,0))</f>
        <v/>
      </c>
      <c r="Z27" s="41" t="str">
        <f>if(Z6="","",if(Z6=Partidos!$C6,1,0))</f>
        <v/>
      </c>
    </row>
    <row r="28" hidden="1">
      <c r="A28" s="38"/>
      <c r="B28" s="41">
        <f>if(B7="","",if(B7=Partidos!$C7,1,0))</f>
        <v>0</v>
      </c>
      <c r="C28" s="41">
        <f>if(C7="","",if(C7=Partidos!$C7,1,0))</f>
        <v>0</v>
      </c>
      <c r="D28" s="41">
        <f>if(D7="","",if(D7=Partidos!$C7,1,0))</f>
        <v>0</v>
      </c>
      <c r="E28" s="41">
        <f>if(E7="","",if(E7=Partidos!$C7,1,0))</f>
        <v>0</v>
      </c>
      <c r="F28" s="41">
        <f>if(F7="","",if(F7=Partidos!$C7,1,0))</f>
        <v>0</v>
      </c>
      <c r="G28" s="41">
        <f>if(G7="","",if(G7=Partidos!$C7,1,0))</f>
        <v>0</v>
      </c>
      <c r="H28" s="41">
        <f>if(H7="","",if(H7=Partidos!$C7,1,0))</f>
        <v>0</v>
      </c>
      <c r="I28" s="41">
        <f>if(I7="","",if(I7=Partidos!$C7,1,0))</f>
        <v>0</v>
      </c>
      <c r="J28" s="41">
        <f>if(J7="","",if(J7=Partidos!$C7,1,0))</f>
        <v>0</v>
      </c>
      <c r="K28" s="41">
        <f>if(K7="","",if(K7=Partidos!$C7,1,0))</f>
        <v>0</v>
      </c>
      <c r="L28" s="41">
        <f>if(L7="","",if(L7=Partidos!$C7,1,0))</f>
        <v>0</v>
      </c>
      <c r="M28" s="41">
        <f>if(M7="","",if(M7=Partidos!$C7,1,0))</f>
        <v>0</v>
      </c>
      <c r="N28" s="41">
        <f>if(N7="","",if(N7=Partidos!$C7,1,0))</f>
        <v>0</v>
      </c>
      <c r="O28" s="41">
        <f>if(O7="","",if(O7=Partidos!$C7,1,0))</f>
        <v>0</v>
      </c>
      <c r="P28" s="41">
        <f>if(P7="","",if(P7=Partidos!$C7,1,0))</f>
        <v>0</v>
      </c>
      <c r="Q28" s="41">
        <f>if(Q7="","",if(Q7=Partidos!$C7,1,0))</f>
        <v>0</v>
      </c>
      <c r="R28" s="41">
        <f>if(R7="","",if(R7=Partidos!$C7,1,0))</f>
        <v>0</v>
      </c>
      <c r="S28" s="41">
        <f>if(S7="","",if(S7=Partidos!$C7,1,0))</f>
        <v>0</v>
      </c>
      <c r="T28" s="41">
        <f>if(T7="","",if(T7=Partidos!$C7,1,0))</f>
        <v>0</v>
      </c>
      <c r="U28" s="41">
        <f>if(U7="","",if(U7=Partidos!$C7,1,0))</f>
        <v>0</v>
      </c>
      <c r="V28" s="41">
        <f>if(V7="","",if(V7=Partidos!$C7,1,0))</f>
        <v>1</v>
      </c>
      <c r="W28" s="41">
        <f>if(W7="","",if(W7=Partidos!$C7,1,0))</f>
        <v>1</v>
      </c>
      <c r="X28" s="41">
        <f>if(X7="","",if(X7=Partidos!$C7,1,0))</f>
        <v>0</v>
      </c>
      <c r="Y28" s="41" t="str">
        <f>if(Y7="","",if(Y7=Partidos!$C7,1,0))</f>
        <v/>
      </c>
      <c r="Z28" s="41" t="str">
        <f>if(Z7="","",if(Z7=Partidos!$C7,1,0))</f>
        <v/>
      </c>
    </row>
    <row r="29" hidden="1">
      <c r="A29" s="38"/>
      <c r="B29" s="41">
        <f>if(B8="","",if(B8=Partidos!$C8,1,0))</f>
        <v>0</v>
      </c>
      <c r="C29" s="41">
        <f>if(C8="","",if(C8=Partidos!$C8,1,0))</f>
        <v>0</v>
      </c>
      <c r="D29" s="41">
        <f>if(D8="","",if(D8=Partidos!$C8,1,0))</f>
        <v>0</v>
      </c>
      <c r="E29" s="41">
        <f>if(E8="","",if(E8=Partidos!$C8,1,0))</f>
        <v>0</v>
      </c>
      <c r="F29" s="41">
        <f>if(F8="","",if(F8=Partidos!$C8,1,0))</f>
        <v>0</v>
      </c>
      <c r="G29" s="41">
        <f>if(G8="","",if(G8=Partidos!$C8,1,0))</f>
        <v>0</v>
      </c>
      <c r="H29" s="41">
        <f>if(H8="","",if(H8=Partidos!$C8,1,0))</f>
        <v>0</v>
      </c>
      <c r="I29" s="41">
        <f>if(I8="","",if(I8=Partidos!$C8,1,0))</f>
        <v>0</v>
      </c>
      <c r="J29" s="41">
        <f>if(J8="","",if(J8=Partidos!$C8,1,0))</f>
        <v>0</v>
      </c>
      <c r="K29" s="41">
        <f>if(K8="","",if(K8=Partidos!$C8,1,0))</f>
        <v>0</v>
      </c>
      <c r="L29" s="41">
        <f>if(L8="","",if(L8=Partidos!$C8,1,0))</f>
        <v>0</v>
      </c>
      <c r="M29" s="41">
        <f>if(M8="","",if(M8=Partidos!$C8,1,0))</f>
        <v>0</v>
      </c>
      <c r="N29" s="41">
        <f>if(N8="","",if(N8=Partidos!$C8,1,0))</f>
        <v>0</v>
      </c>
      <c r="O29" s="41">
        <f>if(O8="","",if(O8=Partidos!$C8,1,0))</f>
        <v>0</v>
      </c>
      <c r="P29" s="41">
        <f>if(P8="","",if(P8=Partidos!$C8,1,0))</f>
        <v>0</v>
      </c>
      <c r="Q29" s="41">
        <f>if(Q8="","",if(Q8=Partidos!$C8,1,0))</f>
        <v>0</v>
      </c>
      <c r="R29" s="41">
        <f>if(R8="","",if(R8=Partidos!$C8,1,0))</f>
        <v>0</v>
      </c>
      <c r="S29" s="41">
        <f>if(S8="","",if(S8=Partidos!$C8,1,0))</f>
        <v>0</v>
      </c>
      <c r="T29" s="41">
        <f>if(T8="","",if(T8=Partidos!$C8,1,0))</f>
        <v>0</v>
      </c>
      <c r="U29" s="41">
        <f>if(U8="","",if(U8=Partidos!$C8,1,0))</f>
        <v>0</v>
      </c>
      <c r="V29" s="41">
        <f>if(V8="","",if(V8=Partidos!$C8,1,0))</f>
        <v>1</v>
      </c>
      <c r="W29" s="41">
        <f>if(W8="","",if(W8=Partidos!$C8,1,0))</f>
        <v>0</v>
      </c>
      <c r="X29" s="41">
        <f>if(X8="","",if(X8=Partidos!$C8,1,0))</f>
        <v>1</v>
      </c>
      <c r="Y29" s="41" t="str">
        <f>if(Y8="","",if(Y8=Partidos!$C8,1,0))</f>
        <v/>
      </c>
      <c r="Z29" s="41" t="str">
        <f>if(Z8="","",if(Z8=Partidos!$C8,1,0))</f>
        <v/>
      </c>
    </row>
    <row r="30" hidden="1">
      <c r="A30" s="38"/>
      <c r="B30" s="52">
        <f>if(B9="","",if(B9=Partidos!$C9,1,0))</f>
        <v>1</v>
      </c>
      <c r="C30" s="52">
        <f>if(C9="","",if(C9=Partidos!$C9,1,0))</f>
        <v>1</v>
      </c>
      <c r="D30" s="52">
        <f>if(D9="","",if(D9=Partidos!$C9,1,0))</f>
        <v>1</v>
      </c>
      <c r="E30" s="52">
        <f>if(E9="","",if(E9=Partidos!$C9,1,0))</f>
        <v>1</v>
      </c>
      <c r="F30" s="52">
        <f>if(F9="","",if(F9=Partidos!$C9,1,0))</f>
        <v>1</v>
      </c>
      <c r="G30" s="52">
        <f>if(G9="","",if(G9=Partidos!$C9,1,0))</f>
        <v>1</v>
      </c>
      <c r="H30" s="52">
        <f>if(H9="","",if(H9=Partidos!$C9,1,0))</f>
        <v>1</v>
      </c>
      <c r="I30" s="52">
        <f>if(I9="","",if(I9=Partidos!$C9,1,0))</f>
        <v>0</v>
      </c>
      <c r="J30" s="52">
        <f>if(J9="","",if(J9=Partidos!$C9,1,0))</f>
        <v>1</v>
      </c>
      <c r="K30" s="52">
        <f>if(K9="","",if(K9=Partidos!$C9,1,0))</f>
        <v>1</v>
      </c>
      <c r="L30" s="52">
        <f>if(L9="","",if(L9=Partidos!$C9,1,0))</f>
        <v>1</v>
      </c>
      <c r="M30" s="52">
        <f>if(M9="","",if(M9=Partidos!$C9,1,0))</f>
        <v>1</v>
      </c>
      <c r="N30" s="52">
        <f>if(N9="","",if(N9=Partidos!$C9,1,0))</f>
        <v>1</v>
      </c>
      <c r="O30" s="52">
        <f>if(O9="","",if(O9=Partidos!$C9,1,0))</f>
        <v>1</v>
      </c>
      <c r="P30" s="52">
        <f>if(P9="","",if(P9=Partidos!$C9,1,0))</f>
        <v>1</v>
      </c>
      <c r="Q30" s="52">
        <f>if(Q9="","",if(Q9=Partidos!$C9,1,0))</f>
        <v>1</v>
      </c>
      <c r="R30" s="52">
        <f>if(R9="","",if(R9=Partidos!$C9,1,0))</f>
        <v>1</v>
      </c>
      <c r="S30" s="52">
        <f>if(S9="","",if(S9=Partidos!$C9,1,0))</f>
        <v>1</v>
      </c>
      <c r="T30" s="52">
        <f>if(T9="","",if(T9=Partidos!$C9,1,0))</f>
        <v>1</v>
      </c>
      <c r="U30" s="52">
        <f>if(U9="","",if(U9=Partidos!$C9,1,0))</f>
        <v>1</v>
      </c>
      <c r="V30" s="52" t="str">
        <f>if(V9="","",if(V9=Partidos!$C9,1,0))</f>
        <v/>
      </c>
      <c r="W30" s="52">
        <f>if(W9="","",if(W9=Partidos!$C9,1,0))</f>
        <v>1</v>
      </c>
      <c r="X30" s="52" t="str">
        <f>if(X9="","",if(X9=Partidos!$C9,1,0))</f>
        <v/>
      </c>
      <c r="Y30" s="52" t="str">
        <f>if(Y9="","",if(Y9=Partidos!$C9,1,0))</f>
        <v/>
      </c>
      <c r="Z30" s="52" t="str">
        <f>if(Z9="","",if(Z9=Partidos!$C9,1,0))</f>
        <v/>
      </c>
    </row>
    <row r="31" hidden="1">
      <c r="A31" s="38"/>
      <c r="B31" s="41">
        <f>if(B10="","",if(B10=Partidos!$C10,1,0))</f>
        <v>1</v>
      </c>
      <c r="C31" s="41">
        <f>if(C10="","",if(C10=Partidos!$C10,1,0))</f>
        <v>1</v>
      </c>
      <c r="D31" s="41">
        <f>if(D10="","",if(D10=Partidos!$C10,1,0))</f>
        <v>1</v>
      </c>
      <c r="E31" s="41">
        <f>if(E10="","",if(E10=Partidos!$C10,1,0))</f>
        <v>1</v>
      </c>
      <c r="F31" s="41">
        <f>if(F10="","",if(F10=Partidos!$C10,1,0))</f>
        <v>1</v>
      </c>
      <c r="G31" s="41">
        <f>if(G10="","",if(G10=Partidos!$C10,1,0))</f>
        <v>0</v>
      </c>
      <c r="H31" s="41">
        <f>if(H10="","",if(H10=Partidos!$C10,1,0))</f>
        <v>1</v>
      </c>
      <c r="I31" s="41">
        <f>if(I10="","",if(I10=Partidos!$C10,1,0))</f>
        <v>1</v>
      </c>
      <c r="J31" s="41">
        <f>if(J10="","",if(J10=Partidos!$C10,1,0))</f>
        <v>1</v>
      </c>
      <c r="K31" s="41">
        <f>if(K10="","",if(K10=Partidos!$C10,1,0))</f>
        <v>1</v>
      </c>
      <c r="L31" s="41">
        <f>if(L10="","",if(L10=Partidos!$C10,1,0))</f>
        <v>1</v>
      </c>
      <c r="M31" s="41">
        <f>if(M10="","",if(M10=Partidos!$C10,1,0))</f>
        <v>1</v>
      </c>
      <c r="N31" s="41">
        <f>if(N10="","",if(N10=Partidos!$C10,1,0))</f>
        <v>1</v>
      </c>
      <c r="O31" s="41">
        <f>if(O10="","",if(O10=Partidos!$C10,1,0))</f>
        <v>1</v>
      </c>
      <c r="P31" s="41">
        <f>if(P10="","",if(P10=Partidos!$C10,1,0))</f>
        <v>1</v>
      </c>
      <c r="Q31" s="41">
        <f>if(Q10="","",if(Q10=Partidos!$C10,1,0))</f>
        <v>1</v>
      </c>
      <c r="R31" s="41">
        <f>if(R10="","",if(R10=Partidos!$C10,1,0))</f>
        <v>1</v>
      </c>
      <c r="S31" s="41">
        <f>if(S10="","",if(S10=Partidos!$C10,1,0))</f>
        <v>1</v>
      </c>
      <c r="T31" s="41">
        <f>if(T10="","",if(T10=Partidos!$C10,1,0))</f>
        <v>1</v>
      </c>
      <c r="U31" s="41">
        <f>if(U10="","",if(U10=Partidos!$C10,1,0))</f>
        <v>1</v>
      </c>
      <c r="V31" s="41" t="str">
        <f>if(V10="","",if(V10=Partidos!$C10,1,0))</f>
        <v/>
      </c>
      <c r="W31" s="41">
        <f>if(W10="","",if(W10=Partidos!$C10,1,0))</f>
        <v>1</v>
      </c>
      <c r="X31" s="41" t="str">
        <f>if(X10="","",if(X10=Partidos!$C10,1,0))</f>
        <v/>
      </c>
      <c r="Y31" s="41" t="str">
        <f>if(Y10="","",if(Y10=Partidos!$C10,1,0))</f>
        <v/>
      </c>
      <c r="Z31" s="41" t="str">
        <f>if(Z10="","",if(Z10=Partidos!$C10,1,0))</f>
        <v/>
      </c>
    </row>
    <row r="32" hidden="1">
      <c r="A32" s="38"/>
      <c r="B32" s="41">
        <f>if(B11="","",if(B11=Partidos!$C11,1,0))</f>
        <v>0</v>
      </c>
      <c r="C32" s="41">
        <f>if(C11="","",if(C11=Partidos!$C11,1,0))</f>
        <v>0</v>
      </c>
      <c r="D32" s="41">
        <f>if(D11="","",if(D11=Partidos!$C11,1,0))</f>
        <v>0</v>
      </c>
      <c r="E32" s="41">
        <f>if(E11="","",if(E11=Partidos!$C11,1,0))</f>
        <v>0</v>
      </c>
      <c r="F32" s="41">
        <f>if(F11="","",if(F11=Partidos!$C11,1,0))</f>
        <v>0</v>
      </c>
      <c r="G32" s="41">
        <f>if(G11="","",if(G11=Partidos!$C11,1,0))</f>
        <v>0</v>
      </c>
      <c r="H32" s="41">
        <f>if(H11="","",if(H11=Partidos!$C11,1,0))</f>
        <v>0</v>
      </c>
      <c r="I32" s="41">
        <f>if(I11="","",if(I11=Partidos!$C11,1,0))</f>
        <v>0</v>
      </c>
      <c r="J32" s="41">
        <f>if(J11="","",if(J11=Partidos!$C11,1,0))</f>
        <v>0</v>
      </c>
      <c r="K32" s="41">
        <f>if(K11="","",if(K11=Partidos!$C11,1,0))</f>
        <v>0</v>
      </c>
      <c r="L32" s="41">
        <f>if(L11="","",if(L11=Partidos!$C11,1,0))</f>
        <v>0</v>
      </c>
      <c r="M32" s="41">
        <f>if(M11="","",if(M11=Partidos!$C11,1,0))</f>
        <v>0</v>
      </c>
      <c r="N32" s="41">
        <f>if(N11="","",if(N11=Partidos!$C11,1,0))</f>
        <v>0</v>
      </c>
      <c r="O32" s="41">
        <f>if(O11="","",if(O11=Partidos!$C11,1,0))</f>
        <v>0</v>
      </c>
      <c r="P32" s="41">
        <f>if(P11="","",if(P11=Partidos!$C11,1,0))</f>
        <v>0</v>
      </c>
      <c r="Q32" s="41">
        <f>if(Q11="","",if(Q11=Partidos!$C11,1,0))</f>
        <v>0</v>
      </c>
      <c r="R32" s="41">
        <f>if(R11="","",if(R11=Partidos!$C11,1,0))</f>
        <v>0</v>
      </c>
      <c r="S32" s="41">
        <f>if(S11="","",if(S11=Partidos!$C11,1,0))</f>
        <v>0</v>
      </c>
      <c r="T32" s="41">
        <f>if(T11="","",if(T11=Partidos!$C11,1,0))</f>
        <v>0</v>
      </c>
      <c r="U32" s="41">
        <f>if(U11="","",if(U11=Partidos!$C11,1,0))</f>
        <v>0</v>
      </c>
      <c r="V32" s="41" t="str">
        <f>if(V11="","",if(V11=Partidos!$C11,1,0))</f>
        <v/>
      </c>
      <c r="W32" s="41">
        <f>if(W11="","",if(W11=Partidos!$C11,1,0))</f>
        <v>0</v>
      </c>
      <c r="X32" s="41" t="str">
        <f>if(X11="","",if(X11=Partidos!$C11,1,0))</f>
        <v/>
      </c>
      <c r="Y32" s="41" t="str">
        <f>if(Y11="","",if(Y11=Partidos!$C11,1,0))</f>
        <v/>
      </c>
      <c r="Z32" s="41" t="str">
        <f>if(Z11="","",if(Z11=Partidos!$C11,1,0))</f>
        <v/>
      </c>
    </row>
    <row r="33" hidden="1">
      <c r="A33" s="38"/>
      <c r="B33" s="52">
        <f>if(B12="","",if(B12=Partidos!$C12,1,0))</f>
        <v>1</v>
      </c>
      <c r="C33" s="52">
        <f>if(C12="","",if(C12=Partidos!$C12,1,0))</f>
        <v>0</v>
      </c>
      <c r="D33" s="52">
        <f>if(D12="","",if(D12=Partidos!$C12,1,0))</f>
        <v>0</v>
      </c>
      <c r="E33" s="52">
        <f>if(E12="","",if(E12=Partidos!$C12,1,0))</f>
        <v>0</v>
      </c>
      <c r="F33" s="52">
        <f>if(F12="","",if(F12=Partidos!$C12,1,0))</f>
        <v>0</v>
      </c>
      <c r="G33" s="52">
        <f>if(G12="","",if(G12=Partidos!$C12,1,0))</f>
        <v>0</v>
      </c>
      <c r="H33" s="52">
        <f>if(H12="","",if(H12=Partidos!$C12,1,0))</f>
        <v>0</v>
      </c>
      <c r="I33" s="52">
        <f>if(I12="","",if(I12=Partidos!$C12,1,0))</f>
        <v>1</v>
      </c>
      <c r="J33" s="52">
        <f>if(J12="","",if(J12=Partidos!$C12,1,0))</f>
        <v>0</v>
      </c>
      <c r="K33" s="52">
        <f>if(K12="","",if(K12=Partidos!$C12,1,0))</f>
        <v>1</v>
      </c>
      <c r="L33" s="52">
        <f>if(L12="","",if(L12=Partidos!$C12,1,0))</f>
        <v>0</v>
      </c>
      <c r="M33" s="52">
        <f>if(M12="","",if(M12=Partidos!$C12,1,0))</f>
        <v>1</v>
      </c>
      <c r="N33" s="52">
        <f>if(N12="","",if(N12=Partidos!$C12,1,0))</f>
        <v>0</v>
      </c>
      <c r="O33" s="52">
        <f>if(O12="","",if(O12=Partidos!$C12,1,0))</f>
        <v>0</v>
      </c>
      <c r="P33" s="52">
        <f>if(P12="","",if(P12=Partidos!$C12,1,0))</f>
        <v>0</v>
      </c>
      <c r="Q33" s="52">
        <f>if(Q12="","",if(Q12=Partidos!$C12,1,0))</f>
        <v>1</v>
      </c>
      <c r="R33" s="52">
        <f>if(R12="","",if(R12=Partidos!$C12,1,0))</f>
        <v>0</v>
      </c>
      <c r="S33" s="52">
        <f>if(S12="","",if(S12=Partidos!$C12,1,0))</f>
        <v>0</v>
      </c>
      <c r="T33" s="52">
        <f>if(T12="","",if(T12=Partidos!$C12,1,0))</f>
        <v>0</v>
      </c>
      <c r="U33" s="52">
        <f>if(U12="","",if(U12=Partidos!$C12,1,0))</f>
        <v>0</v>
      </c>
      <c r="V33" s="52">
        <f>if(V12="","",if(V12=Partidos!$C12,1,0))</f>
        <v>1</v>
      </c>
      <c r="W33" s="52">
        <f>if(W12="","",if(W12=Partidos!$C12,1,0))</f>
        <v>1</v>
      </c>
      <c r="X33" s="52">
        <f>if(X12="","",if(X12=Partidos!$C12,1,0))</f>
        <v>0</v>
      </c>
      <c r="Y33" s="52" t="str">
        <f>if(Y12="","",if(Y12=Partidos!$C12,1,0))</f>
        <v/>
      </c>
      <c r="Z33" s="52" t="str">
        <f>if(Z12="","",if(Z12=Partidos!$C12,1,0))</f>
        <v/>
      </c>
    </row>
    <row r="34" hidden="1">
      <c r="A34" s="38"/>
      <c r="B34" s="41">
        <f>if(B13="","",if(B13=Partidos!$C13,1,0))</f>
        <v>1</v>
      </c>
      <c r="C34" s="41">
        <f>if(C13="","",if(C13=Partidos!$C13,1,0))</f>
        <v>1</v>
      </c>
      <c r="D34" s="41">
        <f>if(D13="","",if(D13=Partidos!$C13,1,0))</f>
        <v>1</v>
      </c>
      <c r="E34" s="41">
        <f>if(E13="","",if(E13=Partidos!$C13,1,0))</f>
        <v>1</v>
      </c>
      <c r="F34" s="41">
        <f>if(F13="","",if(F13=Partidos!$C13,1,0))</f>
        <v>1</v>
      </c>
      <c r="G34" s="41">
        <f>if(G13="","",if(G13=Partidos!$C13,1,0))</f>
        <v>1</v>
      </c>
      <c r="H34" s="41">
        <f>if(H13="","",if(H13=Partidos!$C13,1,0))</f>
        <v>1</v>
      </c>
      <c r="I34" s="41">
        <f>if(I13="","",if(I13=Partidos!$C13,1,0))</f>
        <v>1</v>
      </c>
      <c r="J34" s="41">
        <f>if(J13="","",if(J13=Partidos!$C13,1,0))</f>
        <v>1</v>
      </c>
      <c r="K34" s="41">
        <f>if(K13="","",if(K13=Partidos!$C13,1,0))</f>
        <v>0</v>
      </c>
      <c r="L34" s="41">
        <f>if(L13="","",if(L13=Partidos!$C13,1,0))</f>
        <v>1</v>
      </c>
      <c r="M34" s="41">
        <f>if(M13="","",if(M13=Partidos!$C13,1,0))</f>
        <v>1</v>
      </c>
      <c r="N34" s="41">
        <f>if(N13="","",if(N13=Partidos!$C13,1,0))</f>
        <v>1</v>
      </c>
      <c r="O34" s="41">
        <f>if(O13="","",if(O13=Partidos!$C13,1,0))</f>
        <v>1</v>
      </c>
      <c r="P34" s="41">
        <f>if(P13="","",if(P13=Partidos!$C13,1,0))</f>
        <v>1</v>
      </c>
      <c r="Q34" s="41">
        <f>if(Q13="","",if(Q13=Partidos!$C13,1,0))</f>
        <v>1</v>
      </c>
      <c r="R34" s="41">
        <f>if(R13="","",if(R13=Partidos!$C13,1,0))</f>
        <v>0</v>
      </c>
      <c r="S34" s="41">
        <f>if(S13="","",if(S13=Partidos!$C13,1,0))</f>
        <v>1</v>
      </c>
      <c r="T34" s="41">
        <f>if(T13="","",if(T13=Partidos!$C13,1,0))</f>
        <v>1</v>
      </c>
      <c r="U34" s="41">
        <f>if(U13="","",if(U13=Partidos!$C13,1,0))</f>
        <v>1</v>
      </c>
      <c r="V34" s="41" t="str">
        <f>if(V13="","",if(V13=Partidos!$C13,1,0))</f>
        <v/>
      </c>
      <c r="W34" s="41">
        <f>if(W13="","",if(W13=Partidos!$C13,1,0))</f>
        <v>1</v>
      </c>
      <c r="X34" s="41" t="str">
        <f>if(X13="","",if(X13=Partidos!$C13,1,0))</f>
        <v/>
      </c>
      <c r="Y34" s="41" t="str">
        <f>if(Y13="","",if(Y13=Partidos!$C13,1,0))</f>
        <v/>
      </c>
      <c r="Z34" s="41" t="str">
        <f>if(Z13="","",if(Z13=Partidos!$C13,1,0))</f>
        <v/>
      </c>
    </row>
    <row r="35" hidden="1">
      <c r="A35" s="38"/>
      <c r="B35" s="41">
        <f>if(B14="","",if(B14=Partidos!$C14,1,0))</f>
        <v>0</v>
      </c>
      <c r="C35" s="41">
        <f>if(C14="","",if(C14=Partidos!$C14,1,0))</f>
        <v>1</v>
      </c>
      <c r="D35" s="41">
        <f>if(D14="","",if(D14=Partidos!$C14,1,0))</f>
        <v>1</v>
      </c>
      <c r="E35" s="41">
        <f>if(E14="","",if(E14=Partidos!$C14,1,0))</f>
        <v>1</v>
      </c>
      <c r="F35" s="41">
        <f>if(F14="","",if(F14=Partidos!$C14,1,0))</f>
        <v>1</v>
      </c>
      <c r="G35" s="41">
        <f>if(G14="","",if(G14=Partidos!$C14,1,0))</f>
        <v>0</v>
      </c>
      <c r="H35" s="41">
        <f>if(H14="","",if(H14=Partidos!$C14,1,0))</f>
        <v>1</v>
      </c>
      <c r="I35" s="41">
        <f>if(I14="","",if(I14=Partidos!$C14,1,0))</f>
        <v>1</v>
      </c>
      <c r="J35" s="41">
        <f>if(J14="","",if(J14=Partidos!$C14,1,0))</f>
        <v>1</v>
      </c>
      <c r="K35" s="41">
        <f>if(K14="","",if(K14=Partidos!$C14,1,0))</f>
        <v>1</v>
      </c>
      <c r="L35" s="41">
        <f>if(L14="","",if(L14=Partidos!$C14,1,0))</f>
        <v>0</v>
      </c>
      <c r="M35" s="41">
        <f>if(M14="","",if(M14=Partidos!$C14,1,0))</f>
        <v>0</v>
      </c>
      <c r="N35" s="41">
        <f>if(N14="","",if(N14=Partidos!$C14,1,0))</f>
        <v>0</v>
      </c>
      <c r="O35" s="41">
        <f>if(O14="","",if(O14=Partidos!$C14,1,0))</f>
        <v>0</v>
      </c>
      <c r="P35" s="41">
        <f>if(P14="","",if(P14=Partidos!$C14,1,0))</f>
        <v>0</v>
      </c>
      <c r="Q35" s="41">
        <f>if(Q14="","",if(Q14=Partidos!$C14,1,0))</f>
        <v>0</v>
      </c>
      <c r="R35" s="41">
        <f>if(R14="","",if(R14=Partidos!$C14,1,0))</f>
        <v>0</v>
      </c>
      <c r="S35" s="41">
        <f>if(S14="","",if(S14=Partidos!$C14,1,0))</f>
        <v>0</v>
      </c>
      <c r="T35" s="41">
        <f>if(T14="","",if(T14=Partidos!$C14,1,0))</f>
        <v>1</v>
      </c>
      <c r="U35" s="41">
        <f>if(U14="","",if(U14=Partidos!$C14,1,0))</f>
        <v>1</v>
      </c>
      <c r="V35" s="41" t="str">
        <f>if(V14="","",if(V14=Partidos!$C14,1,0))</f>
        <v/>
      </c>
      <c r="W35" s="41">
        <f>if(W14="","",if(W14=Partidos!$C14,1,0))</f>
        <v>1</v>
      </c>
      <c r="X35" s="41" t="str">
        <f>if(X14="","",if(X14=Partidos!$C14,1,0))</f>
        <v/>
      </c>
      <c r="Y35" s="41" t="str">
        <f>if(Y14="","",if(Y14=Partidos!$C14,1,0))</f>
        <v/>
      </c>
      <c r="Z35" s="41" t="str">
        <f>if(Z14="","",if(Z14=Partidos!$C14,1,0))</f>
        <v/>
      </c>
    </row>
    <row r="36" hidden="1">
      <c r="A36" s="38"/>
      <c r="B36" s="52">
        <f>if(B15="","",if(B15=Partidos!$C15,1,0))</f>
        <v>0</v>
      </c>
      <c r="C36" s="52">
        <f>if(C15="","",if(C15=Partidos!$C15,1,0))</f>
        <v>1</v>
      </c>
      <c r="D36" s="52">
        <f>if(D15="","",if(D15=Partidos!$C15,1,0))</f>
        <v>1</v>
      </c>
      <c r="E36" s="52">
        <f>if(E15="","",if(E15=Partidos!$C15,1,0))</f>
        <v>0</v>
      </c>
      <c r="F36" s="52">
        <f>if(F15="","",if(F15=Partidos!$C15,1,0))</f>
        <v>0</v>
      </c>
      <c r="G36" s="52">
        <f>if(G15="","",if(G15=Partidos!$C15,1,0))</f>
        <v>1</v>
      </c>
      <c r="H36" s="52">
        <f>if(H15="","",if(H15=Partidos!$C15,1,0))</f>
        <v>1</v>
      </c>
      <c r="I36" s="52">
        <f>if(I15="","",if(I15=Partidos!$C15,1,0))</f>
        <v>0</v>
      </c>
      <c r="J36" s="52">
        <f>if(J15="","",if(J15=Partidos!$C15,1,0))</f>
        <v>0</v>
      </c>
      <c r="K36" s="52">
        <f>if(K15="","",if(K15=Partidos!$C15,1,0))</f>
        <v>0</v>
      </c>
      <c r="L36" s="52">
        <f>if(L15="","",if(L15=Partidos!$C15,1,0))</f>
        <v>1</v>
      </c>
      <c r="M36" s="52">
        <f>if(M15="","",if(M15=Partidos!$C15,1,0))</f>
        <v>0</v>
      </c>
      <c r="N36" s="52">
        <f>if(N15="","",if(N15=Partidos!$C15,1,0))</f>
        <v>0</v>
      </c>
      <c r="O36" s="52">
        <f>if(O15="","",if(O15=Partidos!$C15,1,0))</f>
        <v>0</v>
      </c>
      <c r="P36" s="52">
        <f>if(P15="","",if(P15=Partidos!$C15,1,0))</f>
        <v>0</v>
      </c>
      <c r="Q36" s="52">
        <f>if(Q15="","",if(Q15=Partidos!$C15,1,0))</f>
        <v>0</v>
      </c>
      <c r="R36" s="52">
        <f>if(R15="","",if(R15=Partidos!$C15,1,0))</f>
        <v>0</v>
      </c>
      <c r="S36" s="52">
        <f>if(S15="","",if(S15=Partidos!$C15,1,0))</f>
        <v>0</v>
      </c>
      <c r="T36" s="52">
        <f>if(T15="","",if(T15=Partidos!$C15,1,0))</f>
        <v>1</v>
      </c>
      <c r="U36" s="52">
        <f>if(U15="","",if(U15=Partidos!$C15,1,0))</f>
        <v>1</v>
      </c>
      <c r="V36" s="52">
        <f>if(V15="","",if(V15=Partidos!$C15,1,0))</f>
        <v>0</v>
      </c>
      <c r="W36" s="52">
        <f>if(W15="","",if(W15=Partidos!$C15,1,0))</f>
        <v>0</v>
      </c>
      <c r="X36" s="52">
        <f>if(X15="","",if(X15=Partidos!$C15,1,0))</f>
        <v>1</v>
      </c>
      <c r="Y36" s="52" t="str">
        <f>if(Y15="","",if(Y15=Partidos!$C15,1,0))</f>
        <v/>
      </c>
      <c r="Z36" s="52" t="str">
        <f>if(Z15="","",if(Z15=Partidos!$C15,1,0))</f>
        <v/>
      </c>
    </row>
    <row r="37" hidden="1">
      <c r="A37" s="38"/>
      <c r="B37" s="41"/>
      <c r="C37" s="41"/>
      <c r="D37" s="41"/>
      <c r="E37" s="41"/>
      <c r="F37" s="41"/>
      <c r="G37" s="41"/>
      <c r="H37" s="41"/>
      <c r="I37" s="41"/>
      <c r="J37" s="41"/>
      <c r="K37" s="41"/>
      <c r="L37" s="41"/>
      <c r="M37" s="41"/>
      <c r="N37" s="41"/>
      <c r="O37" s="41"/>
      <c r="P37" s="41"/>
      <c r="Q37" s="41"/>
      <c r="R37" s="41"/>
      <c r="S37" s="41"/>
      <c r="T37" s="41"/>
      <c r="U37" s="41"/>
      <c r="V37" s="41"/>
      <c r="W37" s="41"/>
      <c r="X37" s="41"/>
      <c r="Y37" s="41"/>
      <c r="Z37" s="41"/>
    </row>
    <row r="38" hidden="1">
      <c r="A38" s="38"/>
      <c r="B38" s="41"/>
      <c r="C38" s="41"/>
      <c r="D38" s="41"/>
      <c r="E38" s="41"/>
      <c r="F38" s="41"/>
      <c r="G38" s="41"/>
      <c r="H38" s="41"/>
      <c r="I38" s="41"/>
      <c r="J38" s="41"/>
      <c r="K38" s="41"/>
      <c r="L38" s="41"/>
      <c r="M38" s="41"/>
      <c r="N38" s="41"/>
      <c r="O38" s="41"/>
      <c r="P38" s="41"/>
      <c r="Q38" s="41"/>
      <c r="R38" s="41"/>
      <c r="S38" s="41"/>
      <c r="T38" s="41"/>
      <c r="U38" s="41"/>
      <c r="V38" s="41"/>
      <c r="W38" s="41"/>
      <c r="X38" s="41"/>
      <c r="Y38" s="41"/>
      <c r="Z38" s="41"/>
    </row>
    <row r="39" hidden="1">
      <c r="A39" s="38"/>
      <c r="B39" s="38"/>
      <c r="C39" s="38"/>
      <c r="D39" s="41"/>
      <c r="E39" s="38"/>
      <c r="F39" s="38"/>
      <c r="G39" s="38"/>
      <c r="H39" s="38"/>
      <c r="I39" s="38"/>
      <c r="J39" s="38"/>
      <c r="K39" s="38"/>
      <c r="L39" s="38"/>
      <c r="M39" s="38"/>
      <c r="N39" s="38"/>
      <c r="O39" s="38"/>
      <c r="P39" s="38"/>
      <c r="Q39" s="38"/>
      <c r="R39" s="38"/>
      <c r="S39" s="38"/>
      <c r="T39" s="41"/>
      <c r="U39" s="41"/>
      <c r="V39" s="41"/>
      <c r="W39" s="41"/>
      <c r="X39" s="41"/>
      <c r="Y39" s="41"/>
      <c r="Z39" s="41"/>
    </row>
    <row r="40" hidden="1">
      <c r="A40" s="38"/>
      <c r="B40" s="38"/>
      <c r="C40" s="38"/>
      <c r="D40" s="41"/>
      <c r="E40" s="38"/>
      <c r="F40" s="38"/>
      <c r="G40" s="38"/>
      <c r="H40" s="38"/>
      <c r="I40" s="38"/>
      <c r="J40" s="38"/>
      <c r="K40" s="38"/>
      <c r="L40" s="38"/>
      <c r="M40" s="38"/>
      <c r="N40" s="38"/>
      <c r="O40" s="38"/>
      <c r="P40" s="38"/>
      <c r="Q40" s="38"/>
      <c r="R40" s="38"/>
      <c r="S40" s="38"/>
      <c r="T40" s="41"/>
      <c r="U40" s="41"/>
      <c r="V40" s="41"/>
      <c r="W40" s="41"/>
      <c r="X40" s="41"/>
      <c r="Y40" s="41"/>
      <c r="Z40" s="41"/>
    </row>
    <row r="41" hidden="1">
      <c r="A41" s="38"/>
      <c r="B41" s="38"/>
      <c r="C41" s="38"/>
      <c r="D41" s="41"/>
      <c r="E41" s="38"/>
      <c r="F41" s="38"/>
      <c r="G41" s="38"/>
      <c r="H41" s="38"/>
      <c r="I41" s="38"/>
      <c r="J41" s="38"/>
      <c r="K41" s="38"/>
      <c r="L41" s="38"/>
      <c r="M41" s="38"/>
      <c r="N41" s="38"/>
      <c r="O41" s="38"/>
      <c r="P41" s="38"/>
      <c r="Q41" s="38"/>
      <c r="R41" s="38"/>
      <c r="S41" s="38"/>
      <c r="T41" s="41"/>
      <c r="U41" s="41"/>
      <c r="V41" s="41"/>
      <c r="W41" s="41"/>
      <c r="X41" s="41"/>
      <c r="Y41" s="41"/>
      <c r="Z41" s="41"/>
    </row>
    <row r="42" hidden="1">
      <c r="A42" s="38"/>
      <c r="B42" s="38"/>
      <c r="C42" s="38"/>
      <c r="D42" s="41"/>
      <c r="E42" s="38"/>
      <c r="F42" s="38"/>
      <c r="G42" s="38"/>
      <c r="H42" s="38"/>
      <c r="I42" s="38"/>
      <c r="J42" s="38"/>
      <c r="K42" s="38"/>
      <c r="L42" s="38"/>
      <c r="M42" s="38"/>
      <c r="N42" s="38"/>
      <c r="O42" s="38"/>
      <c r="P42" s="38"/>
      <c r="Q42" s="38"/>
      <c r="R42" s="38"/>
      <c r="S42" s="38"/>
      <c r="T42" s="41"/>
      <c r="U42" s="41"/>
      <c r="V42" s="41"/>
      <c r="W42" s="41"/>
      <c r="X42" s="41"/>
      <c r="Y42" s="41"/>
      <c r="Z42" s="41"/>
    </row>
    <row r="43" hidden="1">
      <c r="A43" s="38"/>
      <c r="B43" s="38"/>
      <c r="C43" s="38"/>
      <c r="D43" s="41"/>
      <c r="E43" s="38"/>
      <c r="F43" s="38"/>
      <c r="G43" s="38"/>
      <c r="H43" s="38"/>
      <c r="I43" s="38"/>
      <c r="J43" s="38"/>
      <c r="K43" s="38"/>
      <c r="L43" s="38"/>
      <c r="M43" s="38"/>
      <c r="N43" s="38"/>
      <c r="O43" s="38"/>
      <c r="P43" s="38"/>
      <c r="Q43" s="38"/>
      <c r="R43" s="38"/>
      <c r="S43" s="38"/>
      <c r="T43" s="41"/>
      <c r="U43" s="41"/>
      <c r="V43" s="41"/>
      <c r="W43" s="41"/>
      <c r="X43" s="41"/>
      <c r="Y43" s="41"/>
      <c r="Z43" s="41"/>
    </row>
    <row r="44" hidden="1">
      <c r="A44" s="38"/>
      <c r="B44" s="38"/>
      <c r="C44" s="38"/>
      <c r="D44" s="41"/>
      <c r="E44" s="38"/>
      <c r="F44" s="38"/>
      <c r="G44" s="38"/>
      <c r="H44" s="38"/>
      <c r="I44" s="38"/>
      <c r="J44" s="38"/>
      <c r="K44" s="38"/>
      <c r="L44" s="38"/>
      <c r="M44" s="38"/>
      <c r="N44" s="38"/>
      <c r="O44" s="38"/>
      <c r="P44" s="38"/>
      <c r="Q44" s="38"/>
      <c r="R44" s="38"/>
      <c r="S44" s="38"/>
      <c r="T44" s="41"/>
      <c r="U44" s="41"/>
      <c r="V44" s="41"/>
      <c r="W44" s="41"/>
      <c r="X44" s="41"/>
      <c r="Y44" s="41"/>
      <c r="Z44" s="41"/>
    </row>
    <row r="45" hidden="1">
      <c r="A45" s="38"/>
      <c r="B45" s="38"/>
      <c r="C45" s="38"/>
      <c r="D45" s="41"/>
      <c r="E45" s="38"/>
      <c r="F45" s="38"/>
      <c r="G45" s="38"/>
      <c r="H45" s="38"/>
      <c r="I45" s="38"/>
      <c r="J45" s="38"/>
      <c r="K45" s="38"/>
      <c r="L45" s="38"/>
      <c r="M45" s="38"/>
      <c r="N45" s="38"/>
      <c r="O45" s="38"/>
      <c r="P45" s="38"/>
      <c r="Q45" s="38"/>
      <c r="R45" s="38"/>
      <c r="S45" s="38"/>
      <c r="T45" s="41"/>
      <c r="U45" s="41"/>
      <c r="V45" s="41"/>
      <c r="W45" s="41"/>
      <c r="X45" s="41"/>
      <c r="Y45" s="41"/>
      <c r="Z45" s="41"/>
    </row>
    <row r="46" hidden="1">
      <c r="A46" s="38"/>
      <c r="B46" s="38"/>
      <c r="C46" s="38"/>
      <c r="D46" s="41"/>
      <c r="E46" s="38"/>
      <c r="F46" s="38"/>
      <c r="G46" s="38"/>
      <c r="H46" s="38"/>
      <c r="I46" s="38"/>
      <c r="J46" s="38"/>
      <c r="K46" s="38"/>
      <c r="L46" s="38"/>
      <c r="M46" s="38"/>
      <c r="N46" s="38"/>
      <c r="O46" s="38"/>
      <c r="P46" s="38"/>
      <c r="Q46" s="38"/>
      <c r="R46" s="38"/>
      <c r="S46" s="38"/>
      <c r="T46" s="41"/>
      <c r="U46" s="41"/>
      <c r="V46" s="41"/>
      <c r="W46" s="41"/>
      <c r="X46" s="41"/>
      <c r="Y46" s="41"/>
      <c r="Z46" s="41"/>
    </row>
    <row r="47" hidden="1">
      <c r="A47" s="38"/>
      <c r="B47" s="38"/>
      <c r="C47" s="38"/>
      <c r="D47" s="41"/>
      <c r="E47" s="38"/>
      <c r="F47" s="38"/>
      <c r="G47" s="38"/>
      <c r="H47" s="38"/>
      <c r="I47" s="38"/>
      <c r="J47" s="38"/>
      <c r="K47" s="38"/>
      <c r="L47" s="38"/>
      <c r="M47" s="38"/>
      <c r="N47" s="38"/>
      <c r="O47" s="38"/>
      <c r="P47" s="38"/>
      <c r="Q47" s="38"/>
      <c r="R47" s="38"/>
      <c r="S47" s="38"/>
      <c r="T47" s="41"/>
      <c r="U47" s="41"/>
      <c r="V47" s="41"/>
      <c r="W47" s="41"/>
      <c r="X47" s="41"/>
      <c r="Y47" s="41"/>
      <c r="Z47" s="41"/>
    </row>
    <row r="48" hidden="1">
      <c r="A48" s="38"/>
      <c r="B48" s="38"/>
      <c r="C48" s="38"/>
      <c r="D48" s="41"/>
      <c r="E48" s="38"/>
      <c r="F48" s="38"/>
      <c r="G48" s="38"/>
      <c r="H48" s="38"/>
      <c r="I48" s="38"/>
      <c r="J48" s="38"/>
      <c r="K48" s="38"/>
      <c r="L48" s="38"/>
      <c r="M48" s="38"/>
      <c r="N48" s="38"/>
      <c r="O48" s="38"/>
      <c r="P48" s="38"/>
      <c r="Q48" s="38"/>
      <c r="R48" s="38"/>
      <c r="S48" s="38"/>
      <c r="T48" s="41"/>
      <c r="U48" s="41"/>
      <c r="V48" s="41"/>
      <c r="W48" s="41"/>
      <c r="X48" s="41"/>
      <c r="Y48" s="41"/>
      <c r="Z48" s="41"/>
    </row>
    <row r="49" hidden="1">
      <c r="A49" s="38"/>
      <c r="B49" s="38"/>
      <c r="C49" s="38"/>
      <c r="D49" s="41"/>
      <c r="E49" s="38"/>
      <c r="F49" s="38"/>
      <c r="G49" s="38"/>
      <c r="H49" s="38"/>
      <c r="I49" s="38"/>
      <c r="J49" s="38"/>
      <c r="K49" s="38"/>
      <c r="L49" s="38"/>
      <c r="M49" s="38"/>
      <c r="N49" s="38"/>
      <c r="O49" s="38"/>
      <c r="P49" s="38"/>
      <c r="Q49" s="38"/>
      <c r="R49" s="38"/>
      <c r="S49" s="38"/>
      <c r="T49" s="41"/>
      <c r="U49" s="41"/>
      <c r="V49" s="41"/>
      <c r="W49" s="41"/>
      <c r="X49" s="41"/>
      <c r="Y49" s="41"/>
      <c r="Z49" s="41"/>
    </row>
    <row r="50" hidden="1">
      <c r="A50" s="38"/>
      <c r="B50" s="38"/>
      <c r="C50" s="38"/>
      <c r="D50" s="41"/>
      <c r="E50" s="38"/>
      <c r="F50" s="38"/>
      <c r="G50" s="38"/>
      <c r="H50" s="38"/>
      <c r="I50" s="38"/>
      <c r="J50" s="38"/>
      <c r="K50" s="38"/>
      <c r="L50" s="38"/>
      <c r="M50" s="38"/>
      <c r="N50" s="38"/>
      <c r="O50" s="38"/>
      <c r="P50" s="38"/>
      <c r="Q50" s="38"/>
      <c r="R50" s="38"/>
      <c r="S50" s="38"/>
      <c r="T50" s="41"/>
      <c r="U50" s="41"/>
      <c r="V50" s="41"/>
      <c r="W50" s="41"/>
      <c r="X50" s="41"/>
      <c r="Y50" s="41"/>
      <c r="Z50" s="41"/>
    </row>
    <row r="51" hidden="1">
      <c r="A51" s="38"/>
      <c r="B51" s="38"/>
      <c r="C51" s="38"/>
      <c r="D51" s="41"/>
      <c r="E51" s="38"/>
      <c r="F51" s="38"/>
      <c r="G51" s="38"/>
      <c r="H51" s="38"/>
      <c r="I51" s="38"/>
      <c r="J51" s="38"/>
      <c r="K51" s="38"/>
      <c r="L51" s="38"/>
      <c r="M51" s="38"/>
      <c r="N51" s="38"/>
      <c r="O51" s="38"/>
      <c r="P51" s="38"/>
      <c r="Q51" s="38"/>
      <c r="R51" s="38"/>
      <c r="S51" s="38"/>
      <c r="T51" s="41"/>
      <c r="U51" s="41"/>
      <c r="V51" s="41"/>
      <c r="W51" s="41"/>
      <c r="X51" s="41"/>
      <c r="Y51" s="41"/>
      <c r="Z51" s="41"/>
    </row>
    <row r="52" hidden="1">
      <c r="A52" s="38"/>
      <c r="B52" s="38"/>
      <c r="C52" s="38"/>
      <c r="D52" s="41"/>
      <c r="E52" s="38"/>
      <c r="F52" s="38"/>
      <c r="G52" s="38"/>
      <c r="H52" s="38"/>
      <c r="I52" s="38"/>
      <c r="J52" s="38"/>
      <c r="K52" s="38"/>
      <c r="L52" s="38"/>
      <c r="M52" s="38"/>
      <c r="N52" s="38"/>
      <c r="O52" s="38"/>
      <c r="P52" s="38"/>
      <c r="Q52" s="38"/>
      <c r="R52" s="38"/>
      <c r="S52" s="38"/>
      <c r="T52" s="41"/>
      <c r="U52" s="41"/>
      <c r="V52" s="41"/>
      <c r="W52" s="41"/>
      <c r="X52" s="41"/>
      <c r="Y52" s="41"/>
      <c r="Z52" s="41"/>
    </row>
    <row r="53" hidden="1">
      <c r="A53" s="38"/>
      <c r="B53" s="38"/>
      <c r="C53" s="38"/>
      <c r="D53" s="41"/>
      <c r="E53" s="38"/>
      <c r="F53" s="38"/>
      <c r="G53" s="38"/>
      <c r="H53" s="38"/>
      <c r="I53" s="38"/>
      <c r="J53" s="38"/>
      <c r="K53" s="38"/>
      <c r="L53" s="38"/>
      <c r="M53" s="38"/>
      <c r="N53" s="38"/>
      <c r="O53" s="38"/>
      <c r="P53" s="38"/>
      <c r="Q53" s="38"/>
      <c r="R53" s="38"/>
      <c r="S53" s="38"/>
      <c r="T53" s="41"/>
      <c r="U53" s="41"/>
      <c r="V53" s="41"/>
      <c r="W53" s="41"/>
      <c r="X53" s="41"/>
      <c r="Y53" s="41"/>
      <c r="Z53" s="41"/>
    </row>
    <row r="54" hidden="1">
      <c r="A54" s="38"/>
      <c r="B54" s="38"/>
      <c r="C54" s="38"/>
      <c r="D54" s="41"/>
      <c r="E54" s="38"/>
      <c r="F54" s="38"/>
      <c r="G54" s="38"/>
      <c r="H54" s="38"/>
      <c r="I54" s="38"/>
      <c r="J54" s="38"/>
      <c r="K54" s="38"/>
      <c r="L54" s="38"/>
      <c r="M54" s="38"/>
      <c r="N54" s="38"/>
      <c r="O54" s="38"/>
      <c r="P54" s="38"/>
      <c r="Q54" s="38"/>
      <c r="R54" s="38"/>
      <c r="S54" s="38"/>
      <c r="T54" s="41"/>
      <c r="U54" s="41"/>
      <c r="V54" s="41"/>
      <c r="W54" s="41"/>
      <c r="X54" s="41"/>
      <c r="Y54" s="41"/>
      <c r="Z54" s="41"/>
    </row>
    <row r="55" hidden="1">
      <c r="A55" s="38"/>
      <c r="B55" s="38"/>
      <c r="C55" s="38"/>
      <c r="D55" s="41"/>
      <c r="E55" s="38"/>
      <c r="F55" s="38"/>
      <c r="G55" s="38"/>
      <c r="H55" s="38"/>
      <c r="I55" s="38"/>
      <c r="J55" s="38"/>
      <c r="K55" s="38"/>
      <c r="L55" s="38"/>
      <c r="M55" s="38"/>
      <c r="N55" s="38"/>
      <c r="O55" s="38"/>
      <c r="P55" s="38"/>
      <c r="Q55" s="38"/>
      <c r="R55" s="38"/>
      <c r="S55" s="38"/>
      <c r="T55" s="41"/>
      <c r="U55" s="41"/>
      <c r="V55" s="41"/>
      <c r="W55" s="41"/>
      <c r="X55" s="41"/>
      <c r="Y55" s="41"/>
      <c r="Z55" s="41"/>
    </row>
    <row r="56" hidden="1">
      <c r="A56" s="38"/>
      <c r="B56" s="38"/>
      <c r="C56" s="38"/>
      <c r="D56" s="41"/>
      <c r="E56" s="38"/>
      <c r="F56" s="38"/>
      <c r="G56" s="38"/>
      <c r="H56" s="38"/>
      <c r="I56" s="38"/>
      <c r="J56" s="38"/>
      <c r="K56" s="38"/>
      <c r="L56" s="38"/>
      <c r="M56" s="38"/>
      <c r="N56" s="38"/>
      <c r="O56" s="38"/>
      <c r="P56" s="38"/>
      <c r="Q56" s="38"/>
      <c r="R56" s="38"/>
      <c r="S56" s="38"/>
      <c r="T56" s="41"/>
      <c r="U56" s="41"/>
      <c r="V56" s="41"/>
      <c r="W56" s="41"/>
      <c r="X56" s="41"/>
      <c r="Y56" s="41"/>
      <c r="Z56" s="41"/>
    </row>
    <row r="57" hidden="1">
      <c r="A57" s="38"/>
      <c r="B57" s="38"/>
      <c r="C57" s="38"/>
      <c r="D57" s="41"/>
      <c r="E57" s="38"/>
      <c r="F57" s="38"/>
      <c r="G57" s="38"/>
      <c r="H57" s="38"/>
      <c r="I57" s="38"/>
      <c r="J57" s="38"/>
      <c r="K57" s="38"/>
      <c r="L57" s="38"/>
      <c r="M57" s="38"/>
      <c r="N57" s="38"/>
      <c r="O57" s="38"/>
      <c r="P57" s="38"/>
      <c r="Q57" s="38"/>
      <c r="R57" s="38"/>
      <c r="S57" s="38"/>
      <c r="T57" s="41"/>
      <c r="U57" s="41"/>
      <c r="V57" s="41"/>
      <c r="W57" s="41"/>
      <c r="X57" s="41"/>
      <c r="Y57" s="41"/>
      <c r="Z57" s="41"/>
    </row>
    <row r="58" hidden="1">
      <c r="A58" s="38"/>
      <c r="B58" s="38"/>
      <c r="C58" s="38"/>
      <c r="D58" s="41"/>
      <c r="E58" s="38"/>
      <c r="F58" s="38"/>
      <c r="G58" s="38"/>
      <c r="H58" s="38"/>
      <c r="I58" s="38"/>
      <c r="J58" s="38"/>
      <c r="K58" s="38"/>
      <c r="L58" s="38"/>
      <c r="M58" s="38"/>
      <c r="N58" s="38"/>
      <c r="O58" s="38"/>
      <c r="P58" s="38"/>
      <c r="Q58" s="38"/>
      <c r="R58" s="38"/>
      <c r="S58" s="38"/>
      <c r="T58" s="41"/>
      <c r="U58" s="41"/>
      <c r="V58" s="41"/>
      <c r="W58" s="41"/>
      <c r="X58" s="41"/>
      <c r="Y58" s="41"/>
      <c r="Z58" s="41"/>
    </row>
    <row r="59" hidden="1">
      <c r="A59" s="38"/>
      <c r="B59" s="38"/>
      <c r="C59" s="38"/>
      <c r="D59" s="41"/>
      <c r="E59" s="38"/>
      <c r="F59" s="38"/>
      <c r="G59" s="38"/>
      <c r="H59" s="38"/>
      <c r="I59" s="38"/>
      <c r="J59" s="38"/>
      <c r="K59" s="38"/>
      <c r="L59" s="38"/>
      <c r="M59" s="38"/>
      <c r="N59" s="38"/>
      <c r="O59" s="38"/>
      <c r="P59" s="38"/>
      <c r="Q59" s="38"/>
      <c r="R59" s="38"/>
      <c r="S59" s="38"/>
      <c r="T59" s="41"/>
      <c r="U59" s="41"/>
      <c r="V59" s="41"/>
      <c r="W59" s="41"/>
      <c r="X59" s="41"/>
      <c r="Y59" s="41"/>
      <c r="Z59" s="41"/>
    </row>
    <row r="60" hidden="1">
      <c r="A60" s="38"/>
      <c r="B60" s="38"/>
      <c r="C60" s="38"/>
      <c r="D60" s="41"/>
      <c r="E60" s="38"/>
      <c r="F60" s="38"/>
      <c r="G60" s="38"/>
      <c r="H60" s="38"/>
      <c r="I60" s="38"/>
      <c r="J60" s="38"/>
      <c r="K60" s="38"/>
      <c r="L60" s="38"/>
      <c r="M60" s="38"/>
      <c r="N60" s="38"/>
      <c r="O60" s="38"/>
      <c r="P60" s="38"/>
      <c r="Q60" s="38"/>
      <c r="R60" s="38"/>
      <c r="S60" s="38"/>
      <c r="T60" s="41"/>
      <c r="U60" s="41"/>
      <c r="V60" s="41"/>
      <c r="W60" s="41"/>
      <c r="X60" s="41"/>
      <c r="Y60" s="41"/>
      <c r="Z60" s="41"/>
    </row>
    <row r="61" hidden="1">
      <c r="A61" s="38"/>
      <c r="B61" s="38"/>
      <c r="C61" s="38"/>
      <c r="D61" s="41"/>
      <c r="E61" s="38"/>
      <c r="F61" s="38"/>
      <c r="G61" s="38"/>
      <c r="H61" s="38"/>
      <c r="I61" s="38"/>
      <c r="J61" s="38"/>
      <c r="K61" s="38"/>
      <c r="L61" s="38"/>
      <c r="M61" s="38"/>
      <c r="N61" s="38"/>
      <c r="O61" s="38"/>
      <c r="P61" s="38"/>
      <c r="Q61" s="38"/>
      <c r="R61" s="38"/>
      <c r="S61" s="38"/>
      <c r="T61" s="41"/>
      <c r="U61" s="41"/>
      <c r="V61" s="41"/>
      <c r="W61" s="41"/>
      <c r="X61" s="41"/>
      <c r="Y61" s="41"/>
      <c r="Z61" s="41"/>
    </row>
    <row r="62" hidden="1">
      <c r="A62" s="38"/>
      <c r="B62" s="38"/>
      <c r="C62" s="38"/>
      <c r="D62" s="41"/>
      <c r="E62" s="38"/>
      <c r="F62" s="38"/>
      <c r="G62" s="38"/>
      <c r="H62" s="38"/>
      <c r="I62" s="38"/>
      <c r="J62" s="38"/>
      <c r="K62" s="38"/>
      <c r="L62" s="38"/>
      <c r="M62" s="38"/>
      <c r="N62" s="38"/>
      <c r="O62" s="38"/>
      <c r="P62" s="38"/>
      <c r="Q62" s="38"/>
      <c r="R62" s="38"/>
      <c r="S62" s="38"/>
      <c r="T62" s="41"/>
      <c r="U62" s="41"/>
      <c r="V62" s="41"/>
      <c r="W62" s="41"/>
      <c r="X62" s="41"/>
      <c r="Y62" s="41"/>
      <c r="Z62" s="41"/>
    </row>
    <row r="63" hidden="1">
      <c r="A63" s="38"/>
      <c r="B63" s="38"/>
      <c r="C63" s="38"/>
      <c r="D63" s="41"/>
      <c r="E63" s="38"/>
      <c r="F63" s="38"/>
      <c r="G63" s="38"/>
      <c r="H63" s="38"/>
      <c r="I63" s="38"/>
      <c r="J63" s="38"/>
      <c r="K63" s="38"/>
      <c r="L63" s="38"/>
      <c r="M63" s="38"/>
      <c r="N63" s="38"/>
      <c r="O63" s="38"/>
      <c r="P63" s="38"/>
      <c r="Q63" s="38"/>
      <c r="R63" s="38"/>
      <c r="S63" s="38"/>
      <c r="T63" s="41"/>
      <c r="U63" s="41"/>
      <c r="V63" s="41"/>
      <c r="W63" s="41"/>
      <c r="X63" s="41"/>
      <c r="Y63" s="41"/>
      <c r="Z63" s="41"/>
    </row>
    <row r="64" hidden="1">
      <c r="A64" s="38"/>
      <c r="B64" s="38"/>
      <c r="C64" s="38"/>
      <c r="D64" s="41"/>
      <c r="E64" s="38"/>
      <c r="F64" s="38"/>
      <c r="G64" s="38"/>
      <c r="H64" s="38"/>
      <c r="I64" s="38"/>
      <c r="J64" s="38"/>
      <c r="K64" s="38"/>
      <c r="L64" s="38"/>
      <c r="M64" s="38"/>
      <c r="N64" s="38"/>
      <c r="O64" s="38"/>
      <c r="P64" s="38"/>
      <c r="Q64" s="38"/>
      <c r="R64" s="38"/>
      <c r="S64" s="38"/>
      <c r="T64" s="41"/>
      <c r="U64" s="41"/>
      <c r="V64" s="41"/>
      <c r="W64" s="41"/>
      <c r="X64" s="41"/>
      <c r="Y64" s="41"/>
      <c r="Z64" s="41"/>
    </row>
    <row r="65" hidden="1">
      <c r="A65" s="38"/>
      <c r="B65" s="38"/>
      <c r="C65" s="38"/>
      <c r="D65" s="41"/>
      <c r="E65" s="38"/>
      <c r="F65" s="38"/>
      <c r="G65" s="38"/>
      <c r="H65" s="38"/>
      <c r="I65" s="38"/>
      <c r="J65" s="38"/>
      <c r="K65" s="38"/>
      <c r="L65" s="38"/>
      <c r="M65" s="38"/>
      <c r="N65" s="38"/>
      <c r="O65" s="38"/>
      <c r="P65" s="38"/>
      <c r="Q65" s="38"/>
      <c r="R65" s="38"/>
      <c r="S65" s="38"/>
      <c r="T65" s="41"/>
      <c r="U65" s="41"/>
      <c r="V65" s="41"/>
      <c r="W65" s="41"/>
      <c r="X65" s="41"/>
      <c r="Y65" s="41"/>
      <c r="Z65" s="41"/>
    </row>
    <row r="66" hidden="1">
      <c r="A66" s="38"/>
      <c r="B66" s="38"/>
      <c r="C66" s="38"/>
      <c r="D66" s="41"/>
      <c r="E66" s="38"/>
      <c r="F66" s="38"/>
      <c r="G66" s="38"/>
      <c r="H66" s="38"/>
      <c r="I66" s="38"/>
      <c r="J66" s="38"/>
      <c r="K66" s="38"/>
      <c r="L66" s="38"/>
      <c r="M66" s="38"/>
      <c r="N66" s="38"/>
      <c r="O66" s="38"/>
      <c r="P66" s="38"/>
      <c r="Q66" s="38"/>
      <c r="R66" s="38"/>
      <c r="S66" s="38"/>
      <c r="T66" s="41"/>
      <c r="U66" s="41"/>
      <c r="V66" s="41"/>
      <c r="W66" s="41"/>
      <c r="X66" s="41"/>
      <c r="Y66" s="41"/>
      <c r="Z66" s="41"/>
    </row>
    <row r="67" hidden="1">
      <c r="A67" s="38"/>
      <c r="B67" s="38"/>
      <c r="C67" s="38"/>
      <c r="D67" s="41"/>
      <c r="E67" s="38"/>
      <c r="F67" s="38"/>
      <c r="G67" s="38"/>
      <c r="H67" s="38"/>
      <c r="I67" s="38"/>
      <c r="J67" s="38"/>
      <c r="K67" s="38"/>
      <c r="L67" s="38"/>
      <c r="M67" s="38"/>
      <c r="N67" s="38"/>
      <c r="O67" s="38"/>
      <c r="P67" s="38"/>
      <c r="Q67" s="38"/>
      <c r="R67" s="38"/>
      <c r="S67" s="38"/>
      <c r="T67" s="41"/>
      <c r="U67" s="41"/>
      <c r="V67" s="41"/>
      <c r="W67" s="41"/>
      <c r="X67" s="41"/>
      <c r="Y67" s="41"/>
      <c r="Z67" s="41"/>
    </row>
    <row r="68" hidden="1">
      <c r="A68" s="38"/>
      <c r="B68" s="38"/>
      <c r="C68" s="38"/>
      <c r="D68" s="41"/>
      <c r="E68" s="38"/>
      <c r="F68" s="38"/>
      <c r="G68" s="38"/>
      <c r="H68" s="38"/>
      <c r="I68" s="38"/>
      <c r="J68" s="38"/>
      <c r="K68" s="38"/>
      <c r="L68" s="38"/>
      <c r="M68" s="38"/>
      <c r="N68" s="38"/>
      <c r="O68" s="38"/>
      <c r="P68" s="38"/>
      <c r="Q68" s="38"/>
      <c r="R68" s="38"/>
      <c r="S68" s="38"/>
      <c r="T68" s="41"/>
      <c r="U68" s="41"/>
      <c r="V68" s="41"/>
      <c r="W68" s="41"/>
      <c r="X68" s="41"/>
      <c r="Y68" s="41"/>
      <c r="Z68" s="41"/>
    </row>
    <row r="69" hidden="1">
      <c r="A69" s="38"/>
      <c r="B69" s="38"/>
      <c r="C69" s="38"/>
      <c r="D69" s="41"/>
      <c r="E69" s="38"/>
      <c r="F69" s="38"/>
      <c r="G69" s="38"/>
      <c r="H69" s="38"/>
      <c r="I69" s="38"/>
      <c r="J69" s="38"/>
      <c r="K69" s="38"/>
      <c r="L69" s="38"/>
      <c r="M69" s="38"/>
      <c r="N69" s="38"/>
      <c r="O69" s="38"/>
      <c r="P69" s="38"/>
      <c r="Q69" s="38"/>
      <c r="R69" s="38"/>
      <c r="S69" s="38"/>
      <c r="T69" s="41"/>
      <c r="U69" s="41"/>
      <c r="V69" s="41"/>
      <c r="W69" s="41"/>
      <c r="X69" s="41"/>
      <c r="Y69" s="41"/>
      <c r="Z69" s="41"/>
    </row>
    <row r="70" hidden="1">
      <c r="A70" s="38"/>
      <c r="B70" s="38"/>
      <c r="C70" s="38"/>
      <c r="D70" s="41"/>
      <c r="E70" s="38"/>
      <c r="F70" s="38"/>
      <c r="G70" s="38"/>
      <c r="H70" s="38"/>
      <c r="I70" s="38"/>
      <c r="J70" s="38"/>
      <c r="K70" s="38"/>
      <c r="L70" s="38"/>
      <c r="M70" s="38"/>
      <c r="N70" s="38"/>
      <c r="O70" s="38"/>
      <c r="P70" s="38"/>
      <c r="Q70" s="38"/>
      <c r="R70" s="38"/>
      <c r="S70" s="38"/>
      <c r="T70" s="41"/>
      <c r="U70" s="41"/>
      <c r="V70" s="41"/>
      <c r="W70" s="41"/>
      <c r="X70" s="41"/>
      <c r="Y70" s="41"/>
      <c r="Z70" s="41"/>
    </row>
    <row r="71" hidden="1">
      <c r="A71" s="38"/>
      <c r="B71" s="38"/>
      <c r="C71" s="38"/>
      <c r="D71" s="41"/>
      <c r="E71" s="38"/>
      <c r="F71" s="38"/>
      <c r="G71" s="38"/>
      <c r="H71" s="38"/>
      <c r="I71" s="38"/>
      <c r="J71" s="38"/>
      <c r="K71" s="38"/>
      <c r="L71" s="38"/>
      <c r="M71" s="38"/>
      <c r="N71" s="38"/>
      <c r="O71" s="38"/>
      <c r="P71" s="38"/>
      <c r="Q71" s="38"/>
      <c r="R71" s="38"/>
      <c r="S71" s="38"/>
      <c r="T71" s="41"/>
      <c r="U71" s="41"/>
      <c r="V71" s="41"/>
      <c r="W71" s="41"/>
      <c r="X71" s="41"/>
      <c r="Y71" s="41"/>
      <c r="Z71" s="41"/>
    </row>
    <row r="72" hidden="1">
      <c r="A72" s="38"/>
      <c r="B72" s="38"/>
      <c r="C72" s="38"/>
      <c r="D72" s="41"/>
      <c r="E72" s="38"/>
      <c r="F72" s="38"/>
      <c r="G72" s="38"/>
      <c r="H72" s="38"/>
      <c r="I72" s="38"/>
      <c r="J72" s="38"/>
      <c r="K72" s="38"/>
      <c r="L72" s="38"/>
      <c r="M72" s="38"/>
      <c r="N72" s="38"/>
      <c r="O72" s="38"/>
      <c r="P72" s="38"/>
      <c r="Q72" s="38"/>
      <c r="R72" s="38"/>
      <c r="S72" s="38"/>
      <c r="T72" s="41"/>
      <c r="U72" s="41"/>
      <c r="V72" s="41"/>
      <c r="W72" s="41"/>
      <c r="X72" s="41"/>
      <c r="Y72" s="41"/>
      <c r="Z72" s="41"/>
    </row>
    <row r="73" hidden="1">
      <c r="A73" s="38"/>
      <c r="B73" s="38"/>
      <c r="C73" s="38"/>
      <c r="D73" s="41"/>
      <c r="E73" s="38"/>
      <c r="F73" s="38"/>
      <c r="G73" s="38"/>
      <c r="H73" s="38"/>
      <c r="I73" s="38"/>
      <c r="J73" s="38"/>
      <c r="K73" s="38"/>
      <c r="L73" s="38"/>
      <c r="M73" s="38"/>
      <c r="N73" s="38"/>
      <c r="O73" s="38"/>
      <c r="P73" s="38"/>
      <c r="Q73" s="38"/>
      <c r="R73" s="38"/>
      <c r="S73" s="38"/>
      <c r="T73" s="41"/>
      <c r="U73" s="41"/>
      <c r="V73" s="41"/>
      <c r="W73" s="41"/>
      <c r="X73" s="41"/>
      <c r="Y73" s="41"/>
      <c r="Z73" s="41"/>
    </row>
    <row r="74" hidden="1">
      <c r="A74" s="38"/>
      <c r="B74" s="38"/>
      <c r="C74" s="38"/>
      <c r="D74" s="41"/>
      <c r="E74" s="38"/>
      <c r="F74" s="38"/>
      <c r="G74" s="38"/>
      <c r="H74" s="38"/>
      <c r="I74" s="38"/>
      <c r="J74" s="38"/>
      <c r="K74" s="38"/>
      <c r="L74" s="38"/>
      <c r="M74" s="38"/>
      <c r="N74" s="38"/>
      <c r="O74" s="38"/>
      <c r="P74" s="38"/>
      <c r="Q74" s="38"/>
      <c r="R74" s="38"/>
      <c r="S74" s="38"/>
      <c r="T74" s="41"/>
      <c r="U74" s="41"/>
      <c r="V74" s="41"/>
      <c r="W74" s="41"/>
      <c r="X74" s="41"/>
      <c r="Y74" s="41"/>
      <c r="Z74" s="41"/>
    </row>
    <row r="75" hidden="1">
      <c r="A75" s="38"/>
      <c r="B75" s="38"/>
      <c r="C75" s="38"/>
      <c r="D75" s="41"/>
      <c r="E75" s="38"/>
      <c r="F75" s="38"/>
      <c r="G75" s="38"/>
      <c r="H75" s="38"/>
      <c r="I75" s="38"/>
      <c r="J75" s="38"/>
      <c r="K75" s="38"/>
      <c r="L75" s="38"/>
      <c r="M75" s="38"/>
      <c r="N75" s="38"/>
      <c r="O75" s="38"/>
      <c r="P75" s="38"/>
      <c r="Q75" s="38"/>
      <c r="R75" s="38"/>
      <c r="S75" s="38"/>
      <c r="T75" s="41"/>
      <c r="U75" s="41"/>
      <c r="V75" s="41"/>
      <c r="W75" s="41"/>
      <c r="X75" s="41"/>
      <c r="Y75" s="41"/>
      <c r="Z75" s="41"/>
    </row>
    <row r="76" hidden="1">
      <c r="A76" s="38"/>
      <c r="B76" s="38"/>
      <c r="C76" s="38"/>
      <c r="D76" s="41"/>
      <c r="E76" s="38"/>
      <c r="F76" s="38"/>
      <c r="G76" s="38"/>
      <c r="H76" s="38"/>
      <c r="I76" s="38"/>
      <c r="J76" s="38"/>
      <c r="K76" s="38"/>
      <c r="L76" s="38"/>
      <c r="M76" s="38"/>
      <c r="N76" s="38"/>
      <c r="O76" s="38"/>
      <c r="P76" s="38"/>
      <c r="Q76" s="38"/>
      <c r="R76" s="38"/>
      <c r="S76" s="38"/>
      <c r="T76" s="41"/>
      <c r="U76" s="41"/>
      <c r="V76" s="41"/>
      <c r="W76" s="41"/>
      <c r="X76" s="41"/>
      <c r="Y76" s="41"/>
      <c r="Z76" s="41"/>
    </row>
    <row r="77" hidden="1">
      <c r="A77" s="38"/>
      <c r="B77" s="38"/>
      <c r="C77" s="38"/>
      <c r="D77" s="41"/>
      <c r="E77" s="38"/>
      <c r="F77" s="38"/>
      <c r="G77" s="38"/>
      <c r="H77" s="38"/>
      <c r="I77" s="38"/>
      <c r="J77" s="38"/>
      <c r="K77" s="38"/>
      <c r="L77" s="38"/>
      <c r="M77" s="38"/>
      <c r="N77" s="38"/>
      <c r="O77" s="38"/>
      <c r="P77" s="38"/>
      <c r="Q77" s="38"/>
      <c r="R77" s="38"/>
      <c r="S77" s="38"/>
      <c r="T77" s="41"/>
      <c r="U77" s="41"/>
      <c r="V77" s="41"/>
      <c r="W77" s="41"/>
      <c r="X77" s="41"/>
      <c r="Y77" s="41"/>
      <c r="Z77" s="41"/>
    </row>
    <row r="78" hidden="1">
      <c r="A78" s="38"/>
      <c r="B78" s="38"/>
      <c r="C78" s="38"/>
      <c r="D78" s="41"/>
      <c r="E78" s="38"/>
      <c r="F78" s="38"/>
      <c r="G78" s="38"/>
      <c r="H78" s="38"/>
      <c r="I78" s="38"/>
      <c r="J78" s="38"/>
      <c r="K78" s="38"/>
      <c r="L78" s="38"/>
      <c r="M78" s="38"/>
      <c r="N78" s="38"/>
      <c r="O78" s="38"/>
      <c r="P78" s="38"/>
      <c r="Q78" s="38"/>
      <c r="R78" s="38"/>
      <c r="S78" s="38"/>
      <c r="T78" s="41"/>
      <c r="U78" s="41"/>
      <c r="V78" s="41"/>
      <c r="W78" s="41"/>
      <c r="X78" s="41"/>
      <c r="Y78" s="41"/>
      <c r="Z78" s="41"/>
    </row>
    <row r="79" hidden="1">
      <c r="A79" s="38"/>
      <c r="B79" s="38"/>
      <c r="C79" s="38"/>
      <c r="D79" s="41"/>
      <c r="E79" s="38"/>
      <c r="F79" s="38"/>
      <c r="G79" s="38"/>
      <c r="H79" s="38"/>
      <c r="I79" s="38"/>
      <c r="J79" s="38"/>
      <c r="K79" s="38"/>
      <c r="L79" s="38"/>
      <c r="M79" s="38"/>
      <c r="N79" s="38"/>
      <c r="O79" s="38"/>
      <c r="P79" s="38"/>
      <c r="Q79" s="38"/>
      <c r="R79" s="38"/>
      <c r="S79" s="38"/>
      <c r="T79" s="41"/>
      <c r="U79" s="41"/>
      <c r="V79" s="41"/>
      <c r="W79" s="41"/>
      <c r="X79" s="41"/>
      <c r="Y79" s="41"/>
      <c r="Z79" s="41"/>
    </row>
    <row r="80" hidden="1">
      <c r="A80" s="38"/>
      <c r="B80" s="38"/>
      <c r="C80" s="38"/>
      <c r="D80" s="41"/>
      <c r="E80" s="38"/>
      <c r="F80" s="38"/>
      <c r="G80" s="38"/>
      <c r="H80" s="38"/>
      <c r="I80" s="38"/>
      <c r="J80" s="38"/>
      <c r="K80" s="38"/>
      <c r="L80" s="38"/>
      <c r="M80" s="38"/>
      <c r="N80" s="38"/>
      <c r="O80" s="38"/>
      <c r="P80" s="38"/>
      <c r="Q80" s="38"/>
      <c r="R80" s="38"/>
      <c r="S80" s="38"/>
      <c r="T80" s="41"/>
      <c r="U80" s="41"/>
      <c r="V80" s="41"/>
      <c r="W80" s="41"/>
      <c r="X80" s="41"/>
      <c r="Y80" s="41"/>
      <c r="Z80" s="41"/>
    </row>
    <row r="81" hidden="1">
      <c r="A81" s="38"/>
      <c r="B81" s="38"/>
      <c r="C81" s="38"/>
      <c r="D81" s="41"/>
      <c r="E81" s="38"/>
      <c r="F81" s="38"/>
      <c r="G81" s="38"/>
      <c r="H81" s="38"/>
      <c r="I81" s="38"/>
      <c r="J81" s="38"/>
      <c r="K81" s="38"/>
      <c r="L81" s="38"/>
      <c r="M81" s="38"/>
      <c r="N81" s="38"/>
      <c r="O81" s="38"/>
      <c r="P81" s="38"/>
      <c r="Q81" s="38"/>
      <c r="R81" s="38"/>
      <c r="S81" s="38"/>
      <c r="T81" s="41"/>
      <c r="U81" s="41"/>
      <c r="V81" s="41"/>
      <c r="W81" s="41"/>
      <c r="X81" s="41"/>
      <c r="Y81" s="41"/>
      <c r="Z81" s="41"/>
    </row>
    <row r="82" hidden="1">
      <c r="A82" s="38"/>
      <c r="B82" s="38"/>
      <c r="C82" s="38"/>
      <c r="D82" s="41"/>
      <c r="E82" s="38"/>
      <c r="F82" s="38"/>
      <c r="G82" s="38"/>
      <c r="H82" s="38"/>
      <c r="I82" s="38"/>
      <c r="J82" s="38"/>
      <c r="K82" s="38"/>
      <c r="L82" s="38"/>
      <c r="M82" s="38"/>
      <c r="N82" s="38"/>
      <c r="O82" s="38"/>
      <c r="P82" s="38"/>
      <c r="Q82" s="38"/>
      <c r="R82" s="38"/>
      <c r="S82" s="38"/>
      <c r="T82" s="41"/>
      <c r="U82" s="41"/>
      <c r="V82" s="41"/>
      <c r="W82" s="41"/>
      <c r="X82" s="41"/>
      <c r="Y82" s="41"/>
      <c r="Z82" s="41"/>
    </row>
    <row r="83" hidden="1">
      <c r="A83" s="38"/>
      <c r="B83" s="38"/>
      <c r="C83" s="38"/>
      <c r="D83" s="41"/>
      <c r="E83" s="38"/>
      <c r="F83" s="38"/>
      <c r="G83" s="38"/>
      <c r="H83" s="38"/>
      <c r="I83" s="38"/>
      <c r="J83" s="38"/>
      <c r="K83" s="38"/>
      <c r="L83" s="38"/>
      <c r="M83" s="38"/>
      <c r="N83" s="38"/>
      <c r="O83" s="38"/>
      <c r="P83" s="38"/>
      <c r="Q83" s="38"/>
      <c r="R83" s="38"/>
      <c r="S83" s="38"/>
      <c r="T83" s="41"/>
      <c r="U83" s="41"/>
      <c r="V83" s="41"/>
      <c r="W83" s="41"/>
      <c r="X83" s="41"/>
      <c r="Y83" s="41"/>
      <c r="Z83" s="41"/>
    </row>
    <row r="84" hidden="1">
      <c r="A84" s="38"/>
      <c r="B84" s="38"/>
      <c r="C84" s="38"/>
      <c r="D84" s="41"/>
      <c r="E84" s="38"/>
      <c r="F84" s="38"/>
      <c r="G84" s="38"/>
      <c r="H84" s="38"/>
      <c r="I84" s="38"/>
      <c r="J84" s="38"/>
      <c r="K84" s="38"/>
      <c r="L84" s="38"/>
      <c r="M84" s="38"/>
      <c r="N84" s="38"/>
      <c r="O84" s="38"/>
      <c r="P84" s="38"/>
      <c r="Q84" s="38"/>
      <c r="R84" s="38"/>
      <c r="S84" s="38"/>
      <c r="T84" s="41"/>
      <c r="U84" s="41"/>
      <c r="V84" s="41"/>
      <c r="W84" s="41"/>
      <c r="X84" s="41"/>
      <c r="Y84" s="41"/>
      <c r="Z84" s="41"/>
    </row>
    <row r="85" hidden="1">
      <c r="A85" s="38"/>
      <c r="B85" s="38"/>
      <c r="C85" s="38"/>
      <c r="D85" s="41"/>
      <c r="E85" s="38"/>
      <c r="F85" s="38"/>
      <c r="G85" s="38"/>
      <c r="H85" s="38"/>
      <c r="I85" s="38"/>
      <c r="J85" s="38"/>
      <c r="K85" s="38"/>
      <c r="L85" s="38"/>
      <c r="M85" s="38"/>
      <c r="N85" s="38"/>
      <c r="O85" s="38"/>
      <c r="P85" s="38"/>
      <c r="Q85" s="38"/>
      <c r="R85" s="38"/>
      <c r="S85" s="38"/>
      <c r="T85" s="41"/>
      <c r="U85" s="41"/>
      <c r="V85" s="41"/>
      <c r="W85" s="41"/>
      <c r="X85" s="41"/>
      <c r="Y85" s="41"/>
      <c r="Z85" s="41"/>
    </row>
    <row r="86" hidden="1">
      <c r="A86" s="38"/>
      <c r="B86" s="38"/>
      <c r="C86" s="38"/>
      <c r="D86" s="41"/>
      <c r="E86" s="38"/>
      <c r="F86" s="38"/>
      <c r="G86" s="38"/>
      <c r="H86" s="38"/>
      <c r="I86" s="38"/>
      <c r="J86" s="38"/>
      <c r="K86" s="38"/>
      <c r="L86" s="38"/>
      <c r="M86" s="38"/>
      <c r="N86" s="38"/>
      <c r="O86" s="38"/>
      <c r="P86" s="38"/>
      <c r="Q86" s="38"/>
      <c r="R86" s="38"/>
      <c r="S86" s="38"/>
      <c r="T86" s="41"/>
      <c r="U86" s="41"/>
      <c r="V86" s="41"/>
      <c r="W86" s="41"/>
      <c r="X86" s="41"/>
      <c r="Y86" s="41"/>
      <c r="Z86" s="41"/>
    </row>
    <row r="87" hidden="1">
      <c r="A87" s="38"/>
      <c r="B87" s="38"/>
      <c r="C87" s="38"/>
      <c r="D87" s="41"/>
      <c r="E87" s="38"/>
      <c r="F87" s="38"/>
      <c r="G87" s="38"/>
      <c r="H87" s="38"/>
      <c r="I87" s="38"/>
      <c r="J87" s="38"/>
      <c r="K87" s="38"/>
      <c r="L87" s="38"/>
      <c r="M87" s="38"/>
      <c r="N87" s="38"/>
      <c r="O87" s="38"/>
      <c r="P87" s="38"/>
      <c r="Q87" s="38"/>
      <c r="R87" s="38"/>
      <c r="S87" s="38"/>
      <c r="T87" s="41"/>
      <c r="U87" s="41"/>
      <c r="V87" s="41"/>
      <c r="W87" s="41"/>
      <c r="X87" s="41"/>
      <c r="Y87" s="41"/>
      <c r="Z87" s="41"/>
    </row>
    <row r="88" hidden="1">
      <c r="A88" s="38"/>
      <c r="B88" s="38"/>
      <c r="C88" s="38"/>
      <c r="D88" s="41"/>
      <c r="E88" s="38"/>
      <c r="F88" s="38"/>
      <c r="G88" s="38"/>
      <c r="H88" s="38"/>
      <c r="I88" s="38"/>
      <c r="J88" s="38"/>
      <c r="K88" s="38"/>
      <c r="L88" s="38"/>
      <c r="M88" s="38"/>
      <c r="N88" s="38"/>
      <c r="O88" s="38"/>
      <c r="P88" s="38"/>
      <c r="Q88" s="38"/>
      <c r="R88" s="38"/>
      <c r="S88" s="38"/>
      <c r="T88" s="41"/>
      <c r="U88" s="41"/>
      <c r="V88" s="41"/>
      <c r="W88" s="41"/>
      <c r="X88" s="41"/>
      <c r="Y88" s="41"/>
      <c r="Z88" s="41"/>
    </row>
    <row r="89" hidden="1">
      <c r="A89" s="38"/>
      <c r="B89" s="38"/>
      <c r="C89" s="38"/>
      <c r="D89" s="41"/>
      <c r="E89" s="38"/>
      <c r="F89" s="38"/>
      <c r="G89" s="38"/>
      <c r="H89" s="38"/>
      <c r="I89" s="38"/>
      <c r="J89" s="38"/>
      <c r="K89" s="38"/>
      <c r="L89" s="38"/>
      <c r="M89" s="38"/>
      <c r="N89" s="38"/>
      <c r="O89" s="38"/>
      <c r="P89" s="38"/>
      <c r="Q89" s="38"/>
      <c r="R89" s="38"/>
      <c r="S89" s="38"/>
      <c r="T89" s="41"/>
      <c r="U89" s="41"/>
      <c r="V89" s="41"/>
      <c r="W89" s="41"/>
      <c r="X89" s="41"/>
      <c r="Y89" s="41"/>
      <c r="Z89" s="41"/>
    </row>
    <row r="90" hidden="1">
      <c r="A90" s="38"/>
      <c r="B90" s="38"/>
      <c r="C90" s="38"/>
      <c r="D90" s="41"/>
      <c r="E90" s="38"/>
      <c r="F90" s="38"/>
      <c r="G90" s="38"/>
      <c r="H90" s="38"/>
      <c r="I90" s="38"/>
      <c r="J90" s="38"/>
      <c r="K90" s="38"/>
      <c r="L90" s="38"/>
      <c r="M90" s="38"/>
      <c r="N90" s="38"/>
      <c r="O90" s="38"/>
      <c r="P90" s="38"/>
      <c r="Q90" s="38"/>
      <c r="R90" s="38"/>
      <c r="S90" s="38"/>
      <c r="T90" s="41"/>
      <c r="U90" s="41"/>
      <c r="V90" s="41"/>
      <c r="W90" s="41"/>
      <c r="X90" s="41"/>
      <c r="Y90" s="41"/>
      <c r="Z90" s="41"/>
    </row>
    <row r="91" hidden="1">
      <c r="A91" s="38"/>
      <c r="B91" s="38"/>
      <c r="C91" s="38"/>
      <c r="D91" s="41"/>
      <c r="E91" s="38"/>
      <c r="F91" s="38"/>
      <c r="G91" s="38"/>
      <c r="H91" s="38"/>
      <c r="I91" s="38"/>
      <c r="J91" s="38"/>
      <c r="K91" s="38"/>
      <c r="L91" s="38"/>
      <c r="M91" s="38"/>
      <c r="N91" s="38"/>
      <c r="O91" s="38"/>
      <c r="P91" s="38"/>
      <c r="Q91" s="38"/>
      <c r="R91" s="38"/>
      <c r="S91" s="38"/>
      <c r="T91" s="41"/>
      <c r="U91" s="41"/>
      <c r="V91" s="41"/>
      <c r="W91" s="41"/>
      <c r="X91" s="41"/>
      <c r="Y91" s="41"/>
      <c r="Z91" s="41"/>
    </row>
    <row r="92" hidden="1">
      <c r="A92" s="38"/>
      <c r="B92" s="38"/>
      <c r="C92" s="38"/>
      <c r="D92" s="41"/>
      <c r="E92" s="38"/>
      <c r="F92" s="38"/>
      <c r="G92" s="38"/>
      <c r="H92" s="38"/>
      <c r="I92" s="38"/>
      <c r="J92" s="38"/>
      <c r="K92" s="38"/>
      <c r="L92" s="38"/>
      <c r="M92" s="38"/>
      <c r="N92" s="38"/>
      <c r="O92" s="38"/>
      <c r="P92" s="38"/>
      <c r="Q92" s="38"/>
      <c r="R92" s="38"/>
      <c r="S92" s="38"/>
      <c r="T92" s="41"/>
      <c r="U92" s="41"/>
      <c r="V92" s="41"/>
      <c r="W92" s="41"/>
      <c r="X92" s="41"/>
      <c r="Y92" s="41"/>
      <c r="Z92" s="41"/>
    </row>
    <row r="93" hidden="1">
      <c r="A93" s="38"/>
      <c r="B93" s="38"/>
      <c r="C93" s="38"/>
      <c r="D93" s="41"/>
      <c r="E93" s="38"/>
      <c r="F93" s="38"/>
      <c r="G93" s="38"/>
      <c r="H93" s="38"/>
      <c r="I93" s="38"/>
      <c r="J93" s="38"/>
      <c r="K93" s="38"/>
      <c r="L93" s="38"/>
      <c r="M93" s="38"/>
      <c r="N93" s="38"/>
      <c r="O93" s="38"/>
      <c r="P93" s="38"/>
      <c r="Q93" s="38"/>
      <c r="R93" s="38"/>
      <c r="S93" s="38"/>
      <c r="T93" s="41"/>
      <c r="U93" s="41"/>
      <c r="V93" s="41"/>
      <c r="W93" s="41"/>
      <c r="X93" s="41"/>
      <c r="Y93" s="41"/>
      <c r="Z93" s="41"/>
    </row>
    <row r="94" hidden="1">
      <c r="A94" s="38"/>
      <c r="B94" s="38"/>
      <c r="C94" s="38"/>
      <c r="D94" s="41"/>
      <c r="E94" s="38"/>
      <c r="F94" s="38"/>
      <c r="G94" s="38"/>
      <c r="H94" s="38"/>
      <c r="I94" s="38"/>
      <c r="J94" s="38"/>
      <c r="K94" s="38"/>
      <c r="L94" s="38"/>
      <c r="M94" s="38"/>
      <c r="N94" s="38"/>
      <c r="O94" s="38"/>
      <c r="P94" s="38"/>
      <c r="Q94" s="38"/>
      <c r="R94" s="38"/>
      <c r="S94" s="38"/>
      <c r="T94" s="41"/>
      <c r="U94" s="41"/>
      <c r="V94" s="41"/>
      <c r="W94" s="41"/>
      <c r="X94" s="41"/>
      <c r="Y94" s="41"/>
      <c r="Z94" s="41"/>
    </row>
    <row r="95" hidden="1">
      <c r="A95" s="38"/>
      <c r="B95" s="38"/>
      <c r="C95" s="38"/>
      <c r="D95" s="41"/>
      <c r="E95" s="38"/>
      <c r="F95" s="38"/>
      <c r="G95" s="38"/>
      <c r="H95" s="38"/>
      <c r="I95" s="38"/>
      <c r="J95" s="38"/>
      <c r="K95" s="38"/>
      <c r="L95" s="38"/>
      <c r="M95" s="38"/>
      <c r="N95" s="38"/>
      <c r="O95" s="38"/>
      <c r="P95" s="38"/>
      <c r="Q95" s="38"/>
      <c r="R95" s="38"/>
      <c r="S95" s="38"/>
      <c r="T95" s="41"/>
      <c r="U95" s="41"/>
      <c r="V95" s="41"/>
      <c r="W95" s="41"/>
      <c r="X95" s="41"/>
      <c r="Y95" s="41"/>
      <c r="Z95" s="41"/>
    </row>
    <row r="96" hidden="1">
      <c r="A96" s="38"/>
      <c r="B96" s="38"/>
      <c r="C96" s="38"/>
      <c r="D96" s="41"/>
      <c r="E96" s="38"/>
      <c r="F96" s="38"/>
      <c r="G96" s="38"/>
      <c r="H96" s="38"/>
      <c r="I96" s="38"/>
      <c r="J96" s="38"/>
      <c r="K96" s="38"/>
      <c r="L96" s="38"/>
      <c r="M96" s="38"/>
      <c r="N96" s="38"/>
      <c r="O96" s="38"/>
      <c r="P96" s="38"/>
      <c r="Q96" s="38"/>
      <c r="R96" s="38"/>
      <c r="S96" s="38"/>
      <c r="T96" s="41"/>
      <c r="U96" s="41"/>
      <c r="V96" s="41"/>
      <c r="W96" s="41"/>
      <c r="X96" s="41"/>
      <c r="Y96" s="41"/>
      <c r="Z96" s="41"/>
    </row>
    <row r="97" hidden="1">
      <c r="A97" s="38"/>
      <c r="B97" s="38"/>
      <c r="C97" s="38"/>
      <c r="D97" s="41"/>
      <c r="E97" s="38"/>
      <c r="F97" s="38"/>
      <c r="G97" s="38"/>
      <c r="H97" s="38"/>
      <c r="I97" s="38"/>
      <c r="J97" s="38"/>
      <c r="K97" s="38"/>
      <c r="L97" s="38"/>
      <c r="M97" s="38"/>
      <c r="N97" s="38"/>
      <c r="O97" s="38"/>
      <c r="P97" s="38"/>
      <c r="Q97" s="38"/>
      <c r="R97" s="38"/>
      <c r="S97" s="38"/>
      <c r="T97" s="41"/>
      <c r="U97" s="41"/>
      <c r="V97" s="41"/>
      <c r="W97" s="41"/>
      <c r="X97" s="41"/>
      <c r="Y97" s="41"/>
      <c r="Z97" s="41"/>
    </row>
    <row r="98" hidden="1">
      <c r="A98" s="38"/>
      <c r="B98" s="38"/>
      <c r="C98" s="38"/>
      <c r="D98" s="41"/>
      <c r="E98" s="38"/>
      <c r="F98" s="38"/>
      <c r="G98" s="38"/>
      <c r="H98" s="38"/>
      <c r="I98" s="38"/>
      <c r="J98" s="38"/>
      <c r="K98" s="38"/>
      <c r="L98" s="38"/>
      <c r="M98" s="38"/>
      <c r="N98" s="38"/>
      <c r="O98" s="38"/>
      <c r="P98" s="38"/>
      <c r="Q98" s="38"/>
      <c r="R98" s="38"/>
      <c r="S98" s="38"/>
      <c r="T98" s="41"/>
      <c r="U98" s="41"/>
      <c r="V98" s="41"/>
      <c r="W98" s="41"/>
      <c r="X98" s="41"/>
      <c r="Y98" s="41"/>
      <c r="Z98" s="41"/>
    </row>
    <row r="99" hidden="1">
      <c r="A99" s="38"/>
      <c r="B99" s="38"/>
      <c r="C99" s="38"/>
      <c r="D99" s="41"/>
      <c r="E99" s="38"/>
      <c r="F99" s="38"/>
      <c r="G99" s="38"/>
      <c r="H99" s="38"/>
      <c r="I99" s="38"/>
      <c r="J99" s="38"/>
      <c r="K99" s="38"/>
      <c r="L99" s="38"/>
      <c r="M99" s="38"/>
      <c r="N99" s="38"/>
      <c r="O99" s="38"/>
      <c r="P99" s="38"/>
      <c r="Q99" s="38"/>
      <c r="R99" s="38"/>
      <c r="S99" s="38"/>
      <c r="T99" s="41"/>
      <c r="U99" s="41"/>
      <c r="V99" s="41"/>
      <c r="W99" s="41"/>
      <c r="X99" s="41"/>
      <c r="Y99" s="41"/>
      <c r="Z99" s="41"/>
    </row>
    <row r="100" hidden="1">
      <c r="A100" s="38"/>
      <c r="B100" s="38"/>
      <c r="C100" s="38"/>
      <c r="D100" s="41"/>
      <c r="E100" s="38"/>
      <c r="F100" s="38"/>
      <c r="G100" s="38"/>
      <c r="H100" s="38"/>
      <c r="I100" s="38"/>
      <c r="J100" s="38"/>
      <c r="K100" s="38"/>
      <c r="L100" s="38"/>
      <c r="M100" s="38"/>
      <c r="N100" s="38"/>
      <c r="O100" s="38"/>
      <c r="P100" s="38"/>
      <c r="Q100" s="38"/>
      <c r="R100" s="38"/>
      <c r="S100" s="38"/>
      <c r="T100" s="41"/>
      <c r="U100" s="41"/>
      <c r="V100" s="41"/>
      <c r="W100" s="41"/>
      <c r="X100" s="41"/>
      <c r="Y100" s="41"/>
      <c r="Z100" s="41"/>
    </row>
    <row r="101" hidden="1">
      <c r="A101" s="38"/>
      <c r="B101" s="38"/>
      <c r="C101" s="38"/>
      <c r="D101" s="41"/>
      <c r="E101" s="38"/>
      <c r="F101" s="38"/>
      <c r="G101" s="38"/>
      <c r="H101" s="38"/>
      <c r="I101" s="38"/>
      <c r="J101" s="38"/>
      <c r="K101" s="38"/>
      <c r="L101" s="38"/>
      <c r="M101" s="38"/>
      <c r="N101" s="38"/>
      <c r="O101" s="38"/>
      <c r="P101" s="38"/>
      <c r="Q101" s="38"/>
      <c r="R101" s="38"/>
      <c r="S101" s="38"/>
      <c r="T101" s="41"/>
      <c r="U101" s="41"/>
      <c r="V101" s="41"/>
      <c r="W101" s="41"/>
      <c r="X101" s="41"/>
      <c r="Y101" s="41"/>
      <c r="Z101" s="41"/>
    </row>
  </sheetData>
  <mergeCells count="7">
    <mergeCell ref="B16:V16"/>
    <mergeCell ref="U18:V18"/>
    <mergeCell ref="W18:X18"/>
    <mergeCell ref="Y18:Z18"/>
    <mergeCell ref="U19:V20"/>
    <mergeCell ref="W19:X20"/>
    <mergeCell ref="Y19:Z20"/>
  </mergeCells>
  <conditionalFormatting sqref="B20:T20">
    <cfRule type="expression" dxfId="0" priority="1" operator="containsText">
      <formula>NOT(ISERROR(SEARCH((0.1),(B20))))</formula>
    </cfRule>
  </conditionalFormatting>
  <conditionalFormatting sqref="B19:T19">
    <cfRule type="cellIs" dxfId="1" priority="2" operator="between">
      <formula>1</formula>
      <formula>3</formula>
    </cfRule>
  </conditionalFormatting>
  <conditionalFormatting sqref="B19:T19">
    <cfRule type="cellIs" dxfId="2" priority="3" operator="between">
      <formula>4</formula>
      <formula>9</formula>
    </cfRule>
  </conditionalFormatting>
  <conditionalFormatting sqref="B20:T20">
    <cfRule type="expression" dxfId="0" priority="4" operator="containsText">
      <formula>NOT(ISERROR(SEARCH((0.2),(B20))))</formula>
    </cfRule>
  </conditionalFormatting>
  <conditionalFormatting sqref="B19:T19">
    <cfRule type="cellIs" dxfId="3" priority="5" operator="greaterThan">
      <formula>9</formula>
    </cfRule>
  </conditionalFormatting>
  <conditionalFormatting sqref="B20:T20">
    <cfRule type="expression" dxfId="0" priority="6" operator="containsText">
      <formula>NOT(ISERROR(SEARCH((0.3),(B20))))</formula>
    </cfRule>
  </conditionalFormatting>
  <conditionalFormatting sqref="B20:T20">
    <cfRule type="expression" dxfId="0" priority="7" operator="containsText">
      <formula>NOT(ISERROR(SEARCH((0.4),(B20))))</formula>
    </cfRule>
  </conditionalFormatting>
  <conditionalFormatting sqref="B20:T20">
    <cfRule type="expression" dxfId="0" priority="8" operator="containsText">
      <formula>NOT(ISERROR(SEARCH((0.5),(B20))))</formula>
    </cfRule>
  </conditionalFormatting>
  <conditionalFormatting sqref="U17:Z17">
    <cfRule type="notContainsBlanks" dxfId="4" priority="9">
      <formula>LEN(TRIM(U17))&gt;0</formula>
    </cfRule>
  </conditionalFormatting>
  <conditionalFormatting sqref="U19:Z20">
    <cfRule type="cellIs" dxfId="2" priority="10" operator="between">
      <formula>0</formula>
      <formula>9</formula>
    </cfRule>
  </conditionalFormatting>
  <conditionalFormatting sqref="U19:Z20">
    <cfRule type="cellIs" dxfId="5" priority="11" operator="greaterThan">
      <formula>9</formula>
    </cfRule>
  </conditionalFormatting>
  <conditionalFormatting sqref="B20:T20">
    <cfRule type="cellIs" dxfId="2" priority="12" operator="between">
      <formula>0</formula>
      <formula>9</formula>
    </cfRule>
  </conditionalFormatting>
  <conditionalFormatting sqref="B17:T17">
    <cfRule type="notContainsBlanks" dxfId="2" priority="13">
      <formula>LEN(TRIM(B17))&gt;0</formula>
    </cfRule>
  </conditionalFormatting>
  <conditionalFormatting sqref="U17:Z17">
    <cfRule type="containsBlanks" dxfId="6" priority="14">
      <formula>LEN(TRIM(U17))=0</formula>
    </cfRule>
  </conditionalFormatting>
  <dataValidations>
    <dataValidation type="list" allowBlank="1" showDropDown="1" showErrorMessage="1" sqref="T17:U17 W17 Y17">
      <formula1>"0,1,2,M,m"</formula1>
    </dataValidation>
    <dataValidation type="list" allowBlank="1" showDropDown="1" showErrorMessage="1" sqref="V17 X17 Z17">
      <formula1>"0,1,2,m,M"</formula1>
    </dataValidation>
    <dataValidation type="list" allowBlank="1" showDropDown="1" showErrorMessage="1" sqref="T18:U18 W18 Y18">
      <formula1>"1,X,2"</formula1>
    </dataValidation>
    <dataValidation type="list" allowBlank="1" showDropDown="1" showErrorMessage="1" sqref="B2:Z15">
      <formula1>"1,X,2,x"</formula1>
    </dataValidation>
  </dataValidation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75"/>
  <cols>
    <col customWidth="1" min="1" max="1" width="19.88"/>
    <col customWidth="1" min="2" max="2" width="18.63"/>
    <col customWidth="1" min="3" max="3" width="13.25"/>
    <col customWidth="1" min="5" max="13" width="15.88"/>
  </cols>
  <sheetData>
    <row r="1">
      <c r="A1" s="53" t="s">
        <v>29</v>
      </c>
      <c r="B1" s="53" t="s">
        <v>30</v>
      </c>
      <c r="C1" s="53" t="s">
        <v>31</v>
      </c>
      <c r="F1" s="54"/>
      <c r="G1" s="55"/>
      <c r="H1" s="55"/>
      <c r="I1" s="56"/>
      <c r="J1" s="56"/>
      <c r="K1" s="57"/>
      <c r="L1" s="58"/>
      <c r="M1" s="58"/>
    </row>
    <row r="2">
      <c r="A2" s="55" t="s">
        <v>32</v>
      </c>
      <c r="B2" s="55" t="s">
        <v>33</v>
      </c>
      <c r="C2" s="59">
        <v>2.0</v>
      </c>
      <c r="D2" s="60"/>
      <c r="E2" s="61"/>
      <c r="F2" s="56"/>
      <c r="G2" s="55"/>
      <c r="H2" s="55"/>
      <c r="I2" s="54"/>
      <c r="J2" s="54"/>
      <c r="K2" s="54"/>
      <c r="L2" s="54"/>
      <c r="M2" s="62"/>
    </row>
    <row r="3">
      <c r="A3" s="55" t="s">
        <v>34</v>
      </c>
      <c r="B3" s="55" t="s">
        <v>35</v>
      </c>
      <c r="C3" s="63">
        <v>1.0</v>
      </c>
      <c r="D3" s="60"/>
      <c r="E3" s="61"/>
      <c r="F3" s="56"/>
      <c r="G3" s="55"/>
      <c r="H3" s="55"/>
      <c r="I3" s="56"/>
      <c r="J3" s="56"/>
      <c r="K3" s="56"/>
      <c r="L3" s="56"/>
      <c r="M3" s="57"/>
    </row>
    <row r="4">
      <c r="A4" s="55" t="s">
        <v>36</v>
      </c>
      <c r="B4" s="55" t="s">
        <v>37</v>
      </c>
      <c r="C4" s="63">
        <v>1.0</v>
      </c>
      <c r="D4" s="60"/>
      <c r="E4" s="61"/>
      <c r="F4" s="56"/>
      <c r="G4" s="55"/>
      <c r="H4" s="55"/>
      <c r="I4" s="56"/>
      <c r="J4" s="56"/>
      <c r="K4" s="56"/>
      <c r="L4" s="56"/>
      <c r="M4" s="57"/>
    </row>
    <row r="5">
      <c r="A5" s="55" t="s">
        <v>38</v>
      </c>
      <c r="B5" s="55" t="s">
        <v>39</v>
      </c>
      <c r="C5" s="64">
        <v>1.0</v>
      </c>
      <c r="D5" s="60"/>
      <c r="E5" s="61"/>
      <c r="F5" s="56"/>
      <c r="G5" s="55"/>
      <c r="H5" s="55"/>
      <c r="I5" s="56"/>
      <c r="J5" s="56"/>
      <c r="K5" s="56"/>
      <c r="L5" s="56"/>
      <c r="M5" s="57"/>
    </row>
    <row r="6">
      <c r="A6" s="55" t="s">
        <v>40</v>
      </c>
      <c r="B6" s="55" t="s">
        <v>41</v>
      </c>
      <c r="C6" s="63">
        <v>2.0</v>
      </c>
      <c r="D6" s="60"/>
      <c r="E6" s="61"/>
      <c r="F6" s="56"/>
      <c r="G6" s="55"/>
      <c r="H6" s="55"/>
      <c r="I6" s="56"/>
      <c r="J6" s="56"/>
      <c r="K6" s="56"/>
      <c r="L6" s="56"/>
      <c r="M6" s="57"/>
    </row>
    <row r="7">
      <c r="A7" s="55" t="s">
        <v>42</v>
      </c>
      <c r="B7" s="55" t="s">
        <v>43</v>
      </c>
      <c r="C7" s="63" t="s">
        <v>25</v>
      </c>
      <c r="D7" s="60"/>
      <c r="E7" s="61"/>
      <c r="F7" s="56"/>
      <c r="G7" s="55"/>
      <c r="H7" s="55"/>
      <c r="I7" s="56"/>
      <c r="J7" s="56"/>
      <c r="K7" s="56"/>
      <c r="L7" s="56"/>
      <c r="M7" s="57"/>
    </row>
    <row r="8">
      <c r="A8" s="55" t="s">
        <v>44</v>
      </c>
      <c r="B8" s="55" t="s">
        <v>45</v>
      </c>
      <c r="C8" s="63" t="s">
        <v>25</v>
      </c>
      <c r="D8" s="60"/>
      <c r="E8" s="61"/>
      <c r="F8" s="56"/>
      <c r="G8" s="55"/>
      <c r="H8" s="55"/>
      <c r="I8" s="56"/>
      <c r="J8" s="56"/>
      <c r="K8" s="56"/>
      <c r="L8" s="56"/>
      <c r="M8" s="57"/>
    </row>
    <row r="9">
      <c r="A9" s="55" t="s">
        <v>46</v>
      </c>
      <c r="B9" s="55" t="s">
        <v>47</v>
      </c>
      <c r="C9" s="64">
        <v>1.0</v>
      </c>
      <c r="D9" s="60"/>
      <c r="E9" s="61"/>
      <c r="F9" s="56"/>
      <c r="G9" s="55"/>
      <c r="H9" s="55"/>
      <c r="I9" s="56"/>
      <c r="J9" s="56"/>
      <c r="K9" s="56"/>
      <c r="L9" s="56"/>
      <c r="M9" s="57"/>
    </row>
    <row r="10">
      <c r="A10" s="55" t="s">
        <v>48</v>
      </c>
      <c r="B10" s="55" t="s">
        <v>49</v>
      </c>
      <c r="C10" s="63">
        <v>1.0</v>
      </c>
      <c r="D10" s="60"/>
      <c r="E10" s="61"/>
      <c r="F10" s="56"/>
      <c r="G10" s="55"/>
      <c r="H10" s="55"/>
      <c r="I10" s="56"/>
      <c r="J10" s="56"/>
      <c r="K10" s="56"/>
      <c r="L10" s="56"/>
      <c r="M10" s="57"/>
    </row>
    <row r="11">
      <c r="A11" s="55" t="s">
        <v>50</v>
      </c>
      <c r="B11" s="55" t="s">
        <v>51</v>
      </c>
      <c r="C11" s="63">
        <v>1.0</v>
      </c>
      <c r="D11" s="60"/>
      <c r="E11" s="61"/>
      <c r="F11" s="56"/>
      <c r="G11" s="55"/>
      <c r="H11" s="55"/>
      <c r="I11" s="56"/>
      <c r="J11" s="56"/>
      <c r="K11" s="56"/>
      <c r="L11" s="56"/>
      <c r="M11" s="57"/>
    </row>
    <row r="12">
      <c r="A12" s="55" t="s">
        <v>52</v>
      </c>
      <c r="B12" s="55" t="s">
        <v>53</v>
      </c>
      <c r="C12" s="64" t="s">
        <v>25</v>
      </c>
      <c r="D12" s="60"/>
      <c r="E12" s="61"/>
      <c r="F12" s="56"/>
      <c r="G12" s="55"/>
      <c r="H12" s="55"/>
      <c r="I12" s="56"/>
      <c r="J12" s="56"/>
      <c r="K12" s="56"/>
      <c r="L12" s="56"/>
      <c r="M12" s="57"/>
    </row>
    <row r="13">
      <c r="A13" s="55" t="s">
        <v>54</v>
      </c>
      <c r="B13" s="55" t="s">
        <v>55</v>
      </c>
      <c r="C13" s="63">
        <v>1.0</v>
      </c>
      <c r="D13" s="60"/>
      <c r="E13" s="61"/>
      <c r="F13" s="56"/>
      <c r="G13" s="55"/>
      <c r="H13" s="55"/>
      <c r="I13" s="56"/>
      <c r="J13" s="56"/>
      <c r="K13" s="56"/>
      <c r="L13" s="56"/>
      <c r="M13" s="57"/>
    </row>
    <row r="14">
      <c r="A14" s="55" t="s">
        <v>56</v>
      </c>
      <c r="B14" s="55" t="s">
        <v>57</v>
      </c>
      <c r="C14" s="63">
        <v>1.0</v>
      </c>
      <c r="D14" s="60"/>
      <c r="E14" s="61"/>
      <c r="F14" s="56"/>
      <c r="G14" s="55"/>
      <c r="H14" s="55"/>
      <c r="I14" s="56"/>
      <c r="J14" s="56"/>
      <c r="K14" s="56"/>
      <c r="L14" s="56"/>
      <c r="M14" s="57"/>
    </row>
    <row r="15">
      <c r="A15" s="55" t="s">
        <v>58</v>
      </c>
      <c r="B15" s="55" t="s">
        <v>59</v>
      </c>
      <c r="C15" s="64">
        <v>2.0</v>
      </c>
      <c r="D15" s="60"/>
      <c r="E15" s="56"/>
      <c r="F15" s="56"/>
      <c r="G15" s="55"/>
      <c r="H15" s="55"/>
      <c r="J15" s="56"/>
      <c r="K15" s="56"/>
      <c r="L15" s="56"/>
      <c r="M15" s="57"/>
    </row>
    <row r="16">
      <c r="A16" s="55" t="s">
        <v>60</v>
      </c>
      <c r="B16" s="55" t="s">
        <v>61</v>
      </c>
      <c r="C16" s="64"/>
      <c r="D16" s="65"/>
      <c r="E16" s="61"/>
      <c r="F16" s="56"/>
      <c r="I16" s="56"/>
      <c r="J16" s="56"/>
      <c r="K16" s="56"/>
      <c r="L16" s="56"/>
      <c r="M16" s="57"/>
    </row>
    <row r="17">
      <c r="E17" s="56"/>
      <c r="F17" s="56"/>
      <c r="I17" s="56"/>
      <c r="J17" s="56"/>
      <c r="K17" s="56"/>
      <c r="L17" s="56"/>
      <c r="M17" s="57"/>
    </row>
    <row r="18">
      <c r="E18" s="56"/>
      <c r="F18" s="56"/>
      <c r="G18" s="56"/>
      <c r="H18" s="56"/>
      <c r="I18" s="56"/>
      <c r="J18" s="56"/>
      <c r="K18" s="56"/>
      <c r="L18" s="56"/>
      <c r="M18" s="56"/>
    </row>
    <row r="19">
      <c r="E19" s="66"/>
      <c r="F19" s="66"/>
      <c r="G19" s="67"/>
      <c r="H19" s="66"/>
      <c r="I19" s="66"/>
      <c r="J19" s="66"/>
      <c r="K19" s="66"/>
      <c r="L19" s="66"/>
      <c r="M19" s="66"/>
    </row>
    <row r="20">
      <c r="E20" s="66"/>
      <c r="F20" s="66"/>
      <c r="G20" s="66"/>
      <c r="H20" s="66"/>
      <c r="I20" s="66"/>
      <c r="J20" s="66"/>
      <c r="K20" s="66"/>
      <c r="L20" s="66"/>
      <c r="M20" s="66"/>
    </row>
  </sheetData>
  <dataValidations>
    <dataValidation type="list" allowBlank="1" showDropDown="1" sqref="D16">
      <formula1>"0,1,2,m,M"</formula1>
    </dataValidation>
    <dataValidation type="list" allowBlank="1" showDropDown="1" showErrorMessage="1" sqref="C16">
      <formula1>"0,1,2,m,M"</formula1>
    </dataValidation>
    <dataValidation type="list" allowBlank="1" showDropDown="1" showErrorMessage="1" sqref="C2:C15">
      <formula1>"1,X,2"</formula1>
    </dataValidation>
  </dataValidations>
  <drawing r:id="rId1"/>
</worksheet>
</file>
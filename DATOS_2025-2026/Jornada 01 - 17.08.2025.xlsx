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_MAULAS\DATOS_2025-2026\"/>
    </mc:Choice>
  </mc:AlternateContent>
  <xr:revisionPtr revIDLastSave="0" documentId="13_ncr:1_{252D768C-C487-4F50-BF36-EB46ADFE1220}" xr6:coauthVersionLast="47" xr6:coauthVersionMax="47" xr10:uidLastSave="{00000000-0000-0000-0000-000000000000}"/>
  <bookViews>
    <workbookView xWindow="14030" yWindow="1410" windowWidth="17180" windowHeight="18600" xr2:uid="{00000000-000D-0000-FFFF-FFFF00000000}"/>
  </bookViews>
  <sheets>
    <sheet name="Pronósticos" sheetId="1" r:id="rId1"/>
    <sheet name="Partidos" sheetId="2" r:id="rId2"/>
  </sheets>
  <definedNames>
    <definedName name="MAULAS">Pronósticos!$B$1:$V$1</definedName>
    <definedName name="Partidos">Pronósticos!$A$1:$A$20</definedName>
    <definedName name="RESULTADOSYUNOS">Pronósticos!$B$19:$V$20</definedName>
    <definedName name="SeparacionA">Pronósticos!$A$18:$V$18</definedName>
    <definedName name="SeparacionPleno">Pronósticos!$A$16:$S$16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36" i="1" l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Y19" i="1"/>
  <c r="W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7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</calcChain>
</file>

<file path=xl/sharedStrings.xml><?xml version="1.0" encoding="utf-8"?>
<sst xmlns="http://schemas.openxmlformats.org/spreadsheetml/2006/main" count="123" uniqueCount="61">
  <si>
    <t>Alvaro</t>
  </si>
  <si>
    <t>Carlos</t>
  </si>
  <si>
    <t>David Buzón</t>
  </si>
  <si>
    <t>Edu</t>
  </si>
  <si>
    <t>Emilio</t>
  </si>
  <si>
    <t>Fernando Lozano</t>
  </si>
  <si>
    <t>Fernando Ramírez</t>
  </si>
  <si>
    <t>Heradio</t>
  </si>
  <si>
    <t>JA Valdivieso</t>
  </si>
  <si>
    <t>Javier Mora</t>
  </si>
  <si>
    <t>Juan Antonio</t>
  </si>
  <si>
    <t>Juanjo</t>
  </si>
  <si>
    <t>Luismi</t>
  </si>
  <si>
    <t>Marcelo</t>
  </si>
  <si>
    <t>Martín</t>
  </si>
  <si>
    <t>Rafa</t>
  </si>
  <si>
    <t>Ramon</t>
  </si>
  <si>
    <t>Raúl Romera</t>
  </si>
  <si>
    <t>Samuel</t>
  </si>
  <si>
    <t>DD 1</t>
  </si>
  <si>
    <t>DD 2</t>
  </si>
  <si>
    <t>DD 3</t>
  </si>
  <si>
    <t>DD 4</t>
  </si>
  <si>
    <t>DD 5</t>
  </si>
  <si>
    <t>DD 6</t>
  </si>
  <si>
    <t>X</t>
  </si>
  <si>
    <t>Resultados</t>
  </si>
  <si>
    <t>Nº de unos</t>
  </si>
  <si>
    <t>EQUIPO 1</t>
  </si>
  <si>
    <t>EQUIPO 2</t>
  </si>
  <si>
    <t>RESULTADO</t>
  </si>
  <si>
    <t>Girona</t>
  </si>
  <si>
    <t>R.Vallecano</t>
  </si>
  <si>
    <t>Villarreal</t>
  </si>
  <si>
    <t>Oviedo</t>
  </si>
  <si>
    <t>Alavés</t>
  </si>
  <si>
    <t>Levante</t>
  </si>
  <si>
    <t>Mallorca</t>
  </si>
  <si>
    <t>Barcelona</t>
  </si>
  <si>
    <t>Valencia</t>
  </si>
  <si>
    <t>R. Sociedad</t>
  </si>
  <si>
    <t>Celta</t>
  </si>
  <si>
    <t>Getafe</t>
  </si>
  <si>
    <t>Athletic Club</t>
  </si>
  <si>
    <t>Sevilla</t>
  </si>
  <si>
    <t>Espanyol</t>
  </si>
  <si>
    <t>At.Madrid</t>
  </si>
  <si>
    <t>Racing</t>
  </si>
  <si>
    <t>Castellon</t>
  </si>
  <si>
    <t>Malaga</t>
  </si>
  <si>
    <t>Eibar</t>
  </si>
  <si>
    <t>Granada</t>
  </si>
  <si>
    <t>Deportivo</t>
  </si>
  <si>
    <t>Cádiz</t>
  </si>
  <si>
    <t>Mirandés</t>
  </si>
  <si>
    <t>Huesca</t>
  </si>
  <si>
    <t>Leganés</t>
  </si>
  <si>
    <t>Las Palmas</t>
  </si>
  <si>
    <t>Andorra</t>
  </si>
  <si>
    <t>Elche</t>
  </si>
  <si>
    <t>Betis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</si>
</sst>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\ h:mm:ss"/>
    <numFmt numFmtId="165" formatCode="#,##0.###############"/>
  </numFmts>
  <fonts count="19">
    <font>
      <sz val="10"/>
      <color rgb="FF000000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b/>
      <sz val="10"/>
      <color rgb="FF073763"/>
      <name val="Courier New"/>
    </font>
    <font>
      <sz val="10"/>
      <name val="Arial"/>
    </font>
    <font>
      <i/>
      <sz val="10"/>
      <name val="Arial"/>
    </font>
    <font>
      <b/>
      <sz val="10"/>
      <color rgb="FF073763"/>
      <name val="Arial"/>
    </font>
    <font>
      <sz val="10"/>
      <color rgb="FFA61C00"/>
      <name val="Arial"/>
    </font>
    <font>
      <sz val="10"/>
      <name val="Arial"/>
    </font>
    <font>
      <sz val="10"/>
      <color rgb="FFFFFFFF"/>
      <name val="Arial"/>
    </font>
    <font>
      <sz val="10"/>
      <color rgb="FFFFFFFF"/>
      <name val="Roboto"/>
    </font>
    <font>
      <b/>
      <sz val="12"/>
      <color rgb="FFFFFFFF"/>
      <name val="Arial"/>
    </font>
    <font>
      <sz val="10"/>
      <color rgb="FF990000"/>
      <name val="Arial"/>
    </font>
    <font>
      <sz val="10"/>
      <color rgb="FF980000"/>
      <name val="Arial"/>
    </font>
    <font>
      <b/>
      <sz val="12"/>
      <color rgb="FF073763"/>
      <name val="Arial"/>
    </font>
    <font>
      <sz val="10"/>
      <color rgb="FF333333"/>
      <name val="&quot;Open Sans&quot;"/>
    </font>
    <font>
      <b/>
      <sz val="10"/>
      <color rgb="FF073763"/>
      <name val="&quot;Open Sans&quot;"/>
    </font>
    <font>
      <b/>
      <sz val="10"/>
      <color rgb="FF073763"/>
      <name val="Arial"/>
    </font>
    <font>
      <sz val="14"/>
      <color rgb="FF333333"/>
      <name val="&quot;Open Sans&quot;"/>
    </font>
  </fonts>
  <fills count="8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990000"/>
        <bgColor rgb="FF990000"/>
      </patternFill>
    </fill>
    <fill>
      <patternFill patternType="solid">
        <fgColor rgb="FFF8FCFF"/>
        <bgColor rgb="FFF8FCFF"/>
      </patternFill>
    </fill>
    <fill>
      <patternFill patternType="solid">
        <fgColor rgb="FFFFFFFF"/>
        <bgColor rgb="FFFFFFFF"/>
      </patternFill>
    </fill>
    <fill>
      <patternFill patternType="solid">
        <fgColor rgb="FFFFF9F8"/>
        <bgColor rgb="FFFFF9F8"/>
      </patternFill>
    </fill>
    <fill>
      <patternFill patternType="solid">
        <fgColor rgb="FFFFF8F8"/>
        <bgColor rgb="FFFFF8F8"/>
      </patternFill>
    </fill>
  </fills>
  <borders count="23">
    <border>
      <left/>
      <right/>
      <top/>
      <bottom/>
      <diagonal/>
    </border>
    <border>
      <left/>
      <right style="thin">
        <color rgb="FF4A86E8"/>
      </right>
      <top/>
      <bottom style="thin">
        <color rgb="FF4A86E8"/>
      </bottom>
      <diagonal/>
    </border>
    <border>
      <left/>
      <right/>
      <top style="thin">
        <color rgb="FF4A86E8"/>
      </top>
      <bottom style="thin">
        <color rgb="FFCCCCCC"/>
      </bottom>
      <diagonal/>
    </border>
    <border>
      <left/>
      <right style="thick">
        <color rgb="FF073763"/>
      </right>
      <top style="thin">
        <color rgb="FF4A86E8"/>
      </top>
      <bottom style="thin">
        <color rgb="FFCCCCCC"/>
      </bottom>
      <diagonal/>
    </border>
    <border>
      <left/>
      <right style="thin">
        <color rgb="FF4A86E8"/>
      </right>
      <top style="thin">
        <color rgb="FF4A86E8"/>
      </top>
      <bottom style="thin">
        <color rgb="FFCCCCCC"/>
      </bottom>
      <diagonal/>
    </border>
    <border>
      <left style="thin">
        <color rgb="FF4A86E8"/>
      </left>
      <right/>
      <top style="thin">
        <color rgb="FF4A86E8"/>
      </top>
      <bottom/>
      <diagonal/>
    </border>
    <border>
      <left/>
      <right style="thick">
        <color rgb="FF073763"/>
      </right>
      <top/>
      <bottom/>
      <diagonal/>
    </border>
    <border>
      <left style="thin">
        <color rgb="FF4A86E8"/>
      </left>
      <right/>
      <top/>
      <bottom/>
      <diagonal/>
    </border>
    <border>
      <left style="thin">
        <color rgb="FF4A86E8"/>
      </left>
      <right/>
      <top/>
      <bottom style="thin">
        <color rgb="FF073763"/>
      </bottom>
      <diagonal/>
    </border>
    <border>
      <left/>
      <right/>
      <top/>
      <bottom style="thin">
        <color rgb="FF073763"/>
      </bottom>
      <diagonal/>
    </border>
    <border>
      <left/>
      <right style="thick">
        <color rgb="FF073763"/>
      </right>
      <top/>
      <bottom style="thin">
        <color rgb="FF073763"/>
      </bottom>
      <diagonal/>
    </border>
    <border>
      <left/>
      <right style="thin">
        <color rgb="FFCCCCCC"/>
      </right>
      <top/>
      <bottom/>
      <diagonal/>
    </border>
    <border>
      <left/>
      <right style="thin">
        <color rgb="FFEAD1DC"/>
      </right>
      <top style="thin">
        <color rgb="FFEAD1DC"/>
      </top>
      <bottom style="thin">
        <color rgb="FFEAD1DC"/>
      </bottom>
      <diagonal/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EAD1DC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AD1DC"/>
      </top>
      <bottom/>
      <diagonal/>
    </border>
    <border>
      <left/>
      <right style="thin">
        <color rgb="FFCCCCCC"/>
      </right>
      <top style="thin">
        <color rgb="FFEAD1DC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73763"/>
      </top>
      <bottom/>
      <diagonal/>
    </border>
    <border>
      <left style="thin">
        <color rgb="FF073763"/>
      </left>
      <right style="thin">
        <color rgb="FF073763"/>
      </right>
      <top style="thin">
        <color rgb="FF073763"/>
      </top>
      <bottom/>
      <diagonal/>
    </border>
    <border>
      <left style="thin">
        <color rgb="FF073763"/>
      </left>
      <right style="thin">
        <color rgb="FF073763"/>
      </right>
      <top/>
      <bottom/>
      <diagonal/>
    </border>
    <border>
      <left style="thin">
        <color rgb="FF073763"/>
      </left>
      <right style="thin">
        <color rgb="FF073763"/>
      </right>
      <top/>
      <bottom style="thin">
        <color rgb="FF073763"/>
      </bottom>
      <diagonal/>
    </border>
    <border>
      <left style="thin">
        <color rgb="FF073763"/>
      </left>
      <right style="thin">
        <color rgb="FF073763"/>
      </right>
      <top style="thin">
        <color rgb="FF073763"/>
      </top>
      <bottom style="thin">
        <color rgb="FF073763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>
      <alignment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5" fontId="2" fillId="2" borderId="3" xfId="0" applyNumberFormat="1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5" borderId="0" xfId="0" applyFont="1" applyFill="1" applyAlignment="1">
      <alignment horizontal="center" wrapText="1"/>
    </xf>
    <xf numFmtId="0" fontId="4" fillId="6" borderId="0" xfId="0" applyFont="1" applyFill="1" applyAlignment="1">
      <alignment horizontal="center" wrapText="1"/>
    </xf>
    <xf numFmtId="0" fontId="3" fillId="4" borderId="7" xfId="0" applyFont="1" applyFill="1" applyBorder="1" applyAlignment="1">
      <alignment vertical="center" wrapText="1"/>
    </xf>
    <xf numFmtId="0" fontId="4" fillId="5" borderId="0" xfId="0" applyFont="1" applyFill="1" applyAlignment="1">
      <alignment horizontal="center" wrapText="1"/>
    </xf>
    <xf numFmtId="0" fontId="3" fillId="4" borderId="8" xfId="0" applyFont="1" applyFill="1" applyBorder="1" applyAlignment="1">
      <alignment vertical="center" wrapText="1"/>
    </xf>
    <xf numFmtId="0" fontId="4" fillId="0" borderId="9" xfId="0" applyFont="1" applyBorder="1" applyAlignment="1">
      <alignment horizontal="center" wrapText="1"/>
    </xf>
    <xf numFmtId="0" fontId="4" fillId="4" borderId="9" xfId="0" applyFont="1" applyFill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5" borderId="9" xfId="0" applyFont="1" applyFill="1" applyBorder="1" applyAlignment="1">
      <alignment horizontal="center" wrapText="1"/>
    </xf>
    <xf numFmtId="0" fontId="4" fillId="6" borderId="9" xfId="0" applyFont="1" applyFill="1" applyBorder="1" applyAlignment="1">
      <alignment horizontal="center" wrapText="1"/>
    </xf>
    <xf numFmtId="0" fontId="5" fillId="4" borderId="9" xfId="0" applyFont="1" applyFill="1" applyBorder="1" applyAlignment="1">
      <alignment horizontal="center" wrapText="1"/>
    </xf>
    <xf numFmtId="0" fontId="6" fillId="2" borderId="0" xfId="0" applyFont="1" applyFill="1" applyAlignment="1">
      <alignment vertical="center" wrapText="1"/>
    </xf>
    <xf numFmtId="165" fontId="7" fillId="2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4" fillId="4" borderId="0" xfId="0" applyFont="1" applyFill="1" applyAlignment="1">
      <alignment wrapText="1"/>
    </xf>
    <xf numFmtId="0" fontId="15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17" fillId="0" borderId="19" xfId="0" applyFont="1" applyBorder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20" xfId="0" applyFont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17" fillId="0" borderId="21" xfId="0" applyFont="1" applyBorder="1" applyAlignment="1">
      <alignment horizontal="center" wrapText="1"/>
    </xf>
    <xf numFmtId="0" fontId="17" fillId="0" borderId="22" xfId="0" applyFont="1" applyBorder="1" applyAlignment="1">
      <alignment wrapText="1"/>
    </xf>
    <xf numFmtId="0" fontId="15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165" fontId="7" fillId="2" borderId="0" xfId="0" applyNumberFormat="1" applyFont="1" applyFill="1" applyAlignment="1">
      <alignment horizontal="center" vertical="center" wrapText="1"/>
    </xf>
    <xf numFmtId="0" fontId="0" fillId="0" borderId="0" xfId="0" applyFont="1" applyAlignment="1">
      <alignment wrapText="1"/>
    </xf>
    <xf numFmtId="0" fontId="8" fillId="0" borderId="11" xfId="0" applyFont="1" applyBorder="1" applyAlignment="1">
      <alignment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wrapText="1"/>
    </xf>
    <xf numFmtId="0" fontId="11" fillId="3" borderId="18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wrapText="1"/>
    </xf>
    <xf numFmtId="0" fontId="8" fillId="0" borderId="9" xfId="0" applyFont="1" applyBorder="1" applyAlignment="1">
      <alignment wrapText="1"/>
    </xf>
    <xf numFmtId="0" fontId="11" fillId="2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4">
    <dxf>
      <font>
        <b/>
        <color rgb="FF38761D"/>
      </font>
      <fill>
        <patternFill patternType="solid">
          <fgColor rgb="FFB7E1CD"/>
          <bgColor rgb="FFB7E1CD"/>
        </patternFill>
      </fill>
    </dxf>
    <dxf>
      <font>
        <b/>
        <color rgb="FFFFFFFF"/>
      </font>
      <fill>
        <patternFill patternType="solid">
          <fgColor rgb="FF073763"/>
          <bgColor rgb="FF073763"/>
        </patternFill>
      </fill>
    </dxf>
    <dxf>
      <font>
        <b/>
        <color rgb="FFFFFFFF"/>
      </font>
      <fill>
        <patternFill patternType="solid">
          <fgColor rgb="FFFFF9F8"/>
          <bgColor rgb="FFFFF9F8"/>
        </patternFill>
      </fill>
    </dxf>
    <dxf>
      <font>
        <b/>
        <color rgb="FFFFFFFF"/>
      </font>
      <fill>
        <patternFill patternType="solid">
          <fgColor rgb="FF990000"/>
          <bgColor rgb="FF990000"/>
        </patternFill>
      </fill>
    </dxf>
    <dxf>
      <font>
        <b/>
        <color rgb="FFFFFFFF"/>
      </font>
      <fill>
        <patternFill patternType="solid">
          <fgColor rgb="FF073763"/>
          <bgColor rgb="FF073763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38761D"/>
      </font>
      <fill>
        <patternFill patternType="solid">
          <fgColor rgb="FFD9EAD3"/>
          <bgColor rgb="FFD9EAD3"/>
        </patternFill>
      </fill>
    </dxf>
    <dxf>
      <font>
        <b/>
        <color rgb="FFFFFFFF"/>
      </font>
      <fill>
        <patternFill patternType="solid">
          <fgColor rgb="FF073763"/>
          <bgColor rgb="FF073763"/>
        </patternFill>
      </fill>
    </dxf>
    <dxf>
      <font>
        <b/>
        <color rgb="FFFF0000"/>
      </font>
      <fill>
        <patternFill patternType="solid">
          <fgColor rgb="FFFFF9F8"/>
          <bgColor rgb="FFFFF9F8"/>
        </patternFill>
      </fill>
    </dxf>
    <dxf>
      <font>
        <b/>
        <color rgb="FFFFFFFF"/>
      </font>
      <fill>
        <patternFill patternType="solid">
          <fgColor rgb="FF073763"/>
          <bgColor rgb="FF07376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5.08984375" defaultRowHeight="15.75" customHeight="1"/>
  <cols>
    <col min="1" max="1" width="28.90625" customWidth="1"/>
    <col min="2" max="9" width="8.453125" customWidth="1"/>
    <col min="10" max="10" width="10" customWidth="1"/>
    <col min="11" max="26" width="8.453125" customWidth="1"/>
  </cols>
  <sheetData>
    <row r="1" spans="1:26" ht="24" customHeight="1">
      <c r="A1" s="1">
        <f ca="1">NOW()</f>
        <v>45998.910032175925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2" t="s">
        <v>14</v>
      </c>
      <c r="Q1" s="3" t="s">
        <v>15</v>
      </c>
      <c r="R1" s="4" t="s">
        <v>16</v>
      </c>
      <c r="S1" s="5" t="s">
        <v>17</v>
      </c>
      <c r="T1" s="6" t="s">
        <v>18</v>
      </c>
      <c r="U1" s="7" t="s">
        <v>19</v>
      </c>
      <c r="V1" s="8" t="s">
        <v>20</v>
      </c>
      <c r="W1" s="7" t="s">
        <v>21</v>
      </c>
      <c r="X1" s="9" t="s">
        <v>22</v>
      </c>
      <c r="Y1" s="7" t="s">
        <v>23</v>
      </c>
      <c r="Z1" s="9" t="s">
        <v>24</v>
      </c>
    </row>
    <row r="2" spans="1:26" ht="27">
      <c r="A2" s="10" t="str">
        <f>Partidos!A2&amp;"-"&amp;Partidos!B2&amp;LEFT("...............",25-LEN(Partidos!A2&amp;"-"&amp;Partidos!B2))&amp;(ROW()-1)</f>
        <v>Girona-R.Vallecano.......1</v>
      </c>
      <c r="B2" s="11">
        <v>2</v>
      </c>
      <c r="C2" s="12">
        <v>1</v>
      </c>
      <c r="D2" s="11">
        <v>1</v>
      </c>
      <c r="E2" s="12">
        <v>1</v>
      </c>
      <c r="F2" s="11">
        <v>2</v>
      </c>
      <c r="G2" s="12">
        <v>1</v>
      </c>
      <c r="H2" s="11">
        <v>2</v>
      </c>
      <c r="I2" s="12">
        <v>1</v>
      </c>
      <c r="J2" s="11">
        <v>1</v>
      </c>
      <c r="K2" s="12">
        <v>1</v>
      </c>
      <c r="L2" s="12">
        <v>1</v>
      </c>
      <c r="M2" s="12">
        <v>2</v>
      </c>
      <c r="N2" s="11">
        <v>1</v>
      </c>
      <c r="O2" s="12">
        <v>1</v>
      </c>
      <c r="P2" s="11">
        <v>1</v>
      </c>
      <c r="Q2" s="12" t="s">
        <v>25</v>
      </c>
      <c r="R2" s="11" t="s">
        <v>25</v>
      </c>
      <c r="S2" s="12">
        <v>1</v>
      </c>
      <c r="T2" s="13">
        <v>1</v>
      </c>
      <c r="U2" s="12">
        <v>1</v>
      </c>
      <c r="V2" s="11" t="s">
        <v>25</v>
      </c>
      <c r="W2" s="12"/>
      <c r="X2" s="14"/>
      <c r="Y2" s="15"/>
      <c r="Z2" s="14"/>
    </row>
    <row r="3" spans="1:26" ht="27">
      <c r="A3" s="16" t="str">
        <f>Partidos!A3&amp;"-"&amp;Partidos!B3&amp;LEFT("...............",25-LEN(Partidos!A3&amp;"-"&amp;Partidos!B3))&amp;(ROW()-1)</f>
        <v>Villarreal-Oviedo........2</v>
      </c>
      <c r="B3" s="11">
        <v>1</v>
      </c>
      <c r="C3" s="12">
        <v>1</v>
      </c>
      <c r="D3" s="11">
        <v>1</v>
      </c>
      <c r="E3" s="12">
        <v>1</v>
      </c>
      <c r="F3" s="11">
        <v>1</v>
      </c>
      <c r="G3" s="12">
        <v>1</v>
      </c>
      <c r="H3" s="11">
        <v>1</v>
      </c>
      <c r="I3" s="12">
        <v>1</v>
      </c>
      <c r="J3" s="11">
        <v>1</v>
      </c>
      <c r="K3" s="12" t="s">
        <v>25</v>
      </c>
      <c r="L3" s="12">
        <v>1</v>
      </c>
      <c r="M3" s="12" t="s">
        <v>25</v>
      </c>
      <c r="N3" s="11">
        <v>1</v>
      </c>
      <c r="O3" s="12">
        <v>1</v>
      </c>
      <c r="P3" s="11">
        <v>1</v>
      </c>
      <c r="Q3" s="12">
        <v>1</v>
      </c>
      <c r="R3" s="11">
        <v>1</v>
      </c>
      <c r="S3" s="12">
        <v>1</v>
      </c>
      <c r="T3" s="13">
        <v>1</v>
      </c>
      <c r="U3" s="12">
        <v>1</v>
      </c>
      <c r="V3" s="11"/>
      <c r="W3" s="12"/>
      <c r="X3" s="14"/>
      <c r="Y3" s="15"/>
      <c r="Z3" s="14"/>
    </row>
    <row r="4" spans="1:26" ht="27">
      <c r="A4" s="16" t="str">
        <f>Partidos!A4&amp;"-"&amp;Partidos!B4&amp;LEFT("...............",25-LEN(Partidos!A4&amp;"-"&amp;Partidos!B4))&amp;(ROW()-1)</f>
        <v>Alavés-Levante...........3</v>
      </c>
      <c r="B4" s="11" t="s">
        <v>25</v>
      </c>
      <c r="C4" s="12">
        <v>1</v>
      </c>
      <c r="D4" s="11" t="s">
        <v>25</v>
      </c>
      <c r="E4" s="12" t="s">
        <v>25</v>
      </c>
      <c r="F4" s="11">
        <v>1</v>
      </c>
      <c r="G4" s="12" t="s">
        <v>25</v>
      </c>
      <c r="H4" s="11">
        <v>1</v>
      </c>
      <c r="I4" s="12">
        <v>1</v>
      </c>
      <c r="J4" s="11" t="s">
        <v>25</v>
      </c>
      <c r="K4" s="12">
        <v>2</v>
      </c>
      <c r="L4" s="12" t="s">
        <v>25</v>
      </c>
      <c r="M4" s="12">
        <v>1</v>
      </c>
      <c r="N4" s="11" t="s">
        <v>25</v>
      </c>
      <c r="O4" s="12" t="s">
        <v>25</v>
      </c>
      <c r="P4" s="11">
        <v>2</v>
      </c>
      <c r="Q4" s="12">
        <v>1</v>
      </c>
      <c r="R4" s="11">
        <v>1</v>
      </c>
      <c r="S4" s="12" t="s">
        <v>25</v>
      </c>
      <c r="T4" s="13" t="s">
        <v>25</v>
      </c>
      <c r="U4" s="12">
        <v>1</v>
      </c>
      <c r="V4" s="11" t="s">
        <v>25</v>
      </c>
      <c r="W4" s="12"/>
      <c r="X4" s="17"/>
      <c r="Y4" s="15"/>
      <c r="Z4" s="14"/>
    </row>
    <row r="5" spans="1:26" ht="27">
      <c r="A5" s="18" t="str">
        <f>Partidos!A5&amp;"-"&amp;Partidos!B5&amp;LEFT("...............",25-LEN(Partidos!A5&amp;"-"&amp;Partidos!B5))&amp;(ROW()-1)</f>
        <v>Mallorca-Barcelona.......4</v>
      </c>
      <c r="B5" s="19">
        <v>2</v>
      </c>
      <c r="C5" s="20">
        <v>2</v>
      </c>
      <c r="D5" s="19">
        <v>2</v>
      </c>
      <c r="E5" s="20">
        <v>2</v>
      </c>
      <c r="F5" s="19">
        <v>2</v>
      </c>
      <c r="G5" s="20">
        <v>2</v>
      </c>
      <c r="H5" s="19">
        <v>2</v>
      </c>
      <c r="I5" s="20">
        <v>2</v>
      </c>
      <c r="J5" s="19">
        <v>2</v>
      </c>
      <c r="K5" s="20" t="s">
        <v>25</v>
      </c>
      <c r="L5" s="20">
        <v>2</v>
      </c>
      <c r="M5" s="20">
        <v>2</v>
      </c>
      <c r="N5" s="19">
        <v>2</v>
      </c>
      <c r="O5" s="20">
        <v>2</v>
      </c>
      <c r="P5" s="19">
        <v>2</v>
      </c>
      <c r="Q5" s="20">
        <v>2</v>
      </c>
      <c r="R5" s="19">
        <v>2</v>
      </c>
      <c r="S5" s="20">
        <v>2</v>
      </c>
      <c r="T5" s="21">
        <v>2</v>
      </c>
      <c r="U5" s="20">
        <v>2</v>
      </c>
      <c r="V5" s="19"/>
      <c r="W5" s="20"/>
      <c r="X5" s="22"/>
      <c r="Y5" s="23"/>
      <c r="Z5" s="22"/>
    </row>
    <row r="6" spans="1:26" ht="27">
      <c r="A6" s="16" t="str">
        <f>Partidos!A6&amp;"-"&amp;Partidos!B6&amp;LEFT("...............",25-LEN(Partidos!A6&amp;"-"&amp;Partidos!B6))&amp;(ROW()-1)</f>
        <v>Valencia-R. Sociedad.....5</v>
      </c>
      <c r="B6" s="11">
        <v>1</v>
      </c>
      <c r="C6" s="12">
        <v>1</v>
      </c>
      <c r="D6" s="11" t="s">
        <v>25</v>
      </c>
      <c r="E6" s="12" t="s">
        <v>25</v>
      </c>
      <c r="F6" s="11" t="s">
        <v>25</v>
      </c>
      <c r="G6" s="12">
        <v>2</v>
      </c>
      <c r="H6" s="11">
        <v>2</v>
      </c>
      <c r="I6" s="12">
        <v>2</v>
      </c>
      <c r="J6" s="11">
        <v>1</v>
      </c>
      <c r="K6" s="12">
        <v>1</v>
      </c>
      <c r="L6" s="12">
        <v>1</v>
      </c>
      <c r="M6" s="12">
        <v>1</v>
      </c>
      <c r="N6" s="11">
        <v>1</v>
      </c>
      <c r="O6" s="12">
        <v>2</v>
      </c>
      <c r="P6" s="11">
        <v>1</v>
      </c>
      <c r="Q6" s="12" t="s">
        <v>25</v>
      </c>
      <c r="R6" s="11">
        <v>1</v>
      </c>
      <c r="S6" s="12">
        <v>1</v>
      </c>
      <c r="T6" s="13" t="s">
        <v>25</v>
      </c>
      <c r="U6" s="12">
        <v>1</v>
      </c>
      <c r="V6" s="11"/>
      <c r="W6" s="12"/>
      <c r="X6" s="14"/>
      <c r="Y6" s="15"/>
      <c r="Z6" s="14"/>
    </row>
    <row r="7" spans="1:26" ht="27">
      <c r="A7" s="16" t="str">
        <f>Partidos!A7&amp;"-"&amp;Partidos!B7&amp;LEFT("...............",25-LEN(Partidos!A7&amp;"-"&amp;Partidos!B7))&amp;(ROW()-1)</f>
        <v>Celta-Getafe.............6</v>
      </c>
      <c r="B7" s="11">
        <v>1</v>
      </c>
      <c r="C7" s="12">
        <v>1</v>
      </c>
      <c r="D7" s="11">
        <v>1</v>
      </c>
      <c r="E7" s="12">
        <v>1</v>
      </c>
      <c r="F7" s="11" t="s">
        <v>25</v>
      </c>
      <c r="G7" s="12">
        <v>1</v>
      </c>
      <c r="H7" s="11">
        <v>1</v>
      </c>
      <c r="I7" s="12" t="s">
        <v>25</v>
      </c>
      <c r="J7" s="11">
        <v>1</v>
      </c>
      <c r="K7" s="12" t="s">
        <v>25</v>
      </c>
      <c r="L7" s="12">
        <v>1</v>
      </c>
      <c r="M7" s="12" t="s">
        <v>25</v>
      </c>
      <c r="N7" s="11">
        <v>1</v>
      </c>
      <c r="O7" s="12">
        <v>1</v>
      </c>
      <c r="P7" s="11">
        <v>1</v>
      </c>
      <c r="Q7" s="12">
        <v>1</v>
      </c>
      <c r="R7" s="11">
        <v>1</v>
      </c>
      <c r="S7" s="12">
        <v>1</v>
      </c>
      <c r="T7" s="13">
        <v>1</v>
      </c>
      <c r="U7" s="12">
        <v>1</v>
      </c>
      <c r="V7" s="11"/>
      <c r="W7" s="12"/>
      <c r="X7" s="14"/>
      <c r="Y7" s="15"/>
      <c r="Z7" s="14"/>
    </row>
    <row r="8" spans="1:26" ht="27">
      <c r="A8" s="16" t="str">
        <f>Partidos!A8&amp;"-"&amp;Partidos!B8&amp;LEFT("...............",25-LEN(Partidos!A8&amp;"-"&amp;Partidos!B8))&amp;(ROW()-1)</f>
        <v>Athletic Club-Sevilla....7</v>
      </c>
      <c r="B8" s="11">
        <v>1</v>
      </c>
      <c r="C8" s="12">
        <v>1</v>
      </c>
      <c r="D8" s="11">
        <v>1</v>
      </c>
      <c r="E8" s="12">
        <v>1</v>
      </c>
      <c r="F8" s="11">
        <v>1</v>
      </c>
      <c r="G8" s="12">
        <v>1</v>
      </c>
      <c r="H8" s="11">
        <v>1</v>
      </c>
      <c r="I8" s="12">
        <v>1</v>
      </c>
      <c r="J8" s="11">
        <v>1</v>
      </c>
      <c r="K8" s="12">
        <v>1</v>
      </c>
      <c r="L8" s="12" t="s">
        <v>25</v>
      </c>
      <c r="M8" s="12">
        <v>1</v>
      </c>
      <c r="N8" s="11">
        <v>1</v>
      </c>
      <c r="O8" s="12">
        <v>1</v>
      </c>
      <c r="P8" s="11" t="s">
        <v>25</v>
      </c>
      <c r="Q8" s="12">
        <v>1</v>
      </c>
      <c r="R8" s="11">
        <v>1</v>
      </c>
      <c r="S8" s="12">
        <v>1</v>
      </c>
      <c r="T8" s="13">
        <v>1</v>
      </c>
      <c r="U8" s="12">
        <v>1</v>
      </c>
      <c r="V8" s="11"/>
      <c r="W8" s="12"/>
      <c r="X8" s="14"/>
      <c r="Y8" s="15"/>
      <c r="Z8" s="14"/>
    </row>
    <row r="9" spans="1:26" ht="27">
      <c r="A9" s="18" t="str">
        <f>Partidos!A9&amp;"-"&amp;Partidos!B9&amp;LEFT("...............",25-LEN(Partidos!A9&amp;"-"&amp;Partidos!B9))&amp;(ROW()-1)</f>
        <v>Espanyol-At.Madrid.......8</v>
      </c>
      <c r="B9" s="19">
        <v>2</v>
      </c>
      <c r="C9" s="20">
        <v>2</v>
      </c>
      <c r="D9" s="19">
        <v>2</v>
      </c>
      <c r="E9" s="20">
        <v>2</v>
      </c>
      <c r="F9" s="19">
        <v>2</v>
      </c>
      <c r="G9" s="20">
        <v>2</v>
      </c>
      <c r="H9" s="19">
        <v>2</v>
      </c>
      <c r="I9" s="20">
        <v>2</v>
      </c>
      <c r="J9" s="19">
        <v>2</v>
      </c>
      <c r="K9" s="20" t="s">
        <v>25</v>
      </c>
      <c r="L9" s="20">
        <v>2</v>
      </c>
      <c r="M9" s="20">
        <v>2</v>
      </c>
      <c r="N9" s="19">
        <v>2</v>
      </c>
      <c r="O9" s="20">
        <v>2</v>
      </c>
      <c r="P9" s="19">
        <v>2</v>
      </c>
      <c r="Q9" s="20">
        <v>2</v>
      </c>
      <c r="R9" s="19">
        <v>2</v>
      </c>
      <c r="S9" s="20">
        <v>2</v>
      </c>
      <c r="T9" s="21">
        <v>1</v>
      </c>
      <c r="U9" s="20">
        <v>2</v>
      </c>
      <c r="V9" s="19"/>
      <c r="W9" s="20"/>
      <c r="X9" s="22"/>
      <c r="Y9" s="23"/>
      <c r="Z9" s="22"/>
    </row>
    <row r="10" spans="1:26" ht="27">
      <c r="A10" s="16" t="str">
        <f>Partidos!A10&amp;"-"&amp;Partidos!B10&amp;LEFT("...............",25-LEN(Partidos!A10&amp;"-"&amp;Partidos!B10))&amp;(ROW()-1)</f>
        <v>Racing-Castellon.........9</v>
      </c>
      <c r="B10" s="11">
        <v>1</v>
      </c>
      <c r="C10" s="12">
        <v>1</v>
      </c>
      <c r="D10" s="11">
        <v>1</v>
      </c>
      <c r="E10" s="12">
        <v>1</v>
      </c>
      <c r="F10" s="11">
        <v>1</v>
      </c>
      <c r="G10" s="12">
        <v>1</v>
      </c>
      <c r="H10" s="11">
        <v>1</v>
      </c>
      <c r="I10" s="12">
        <v>1</v>
      </c>
      <c r="J10" s="11">
        <v>1</v>
      </c>
      <c r="K10" s="12">
        <v>1</v>
      </c>
      <c r="L10" s="12">
        <v>1</v>
      </c>
      <c r="M10" s="12">
        <v>1</v>
      </c>
      <c r="N10" s="11">
        <v>1</v>
      </c>
      <c r="O10" s="12">
        <v>1</v>
      </c>
      <c r="P10" s="11" t="s">
        <v>25</v>
      </c>
      <c r="Q10" s="12" t="s">
        <v>25</v>
      </c>
      <c r="R10" s="11">
        <v>1</v>
      </c>
      <c r="S10" s="12">
        <v>1</v>
      </c>
      <c r="T10" s="13">
        <v>1</v>
      </c>
      <c r="U10" s="12">
        <v>1</v>
      </c>
      <c r="V10" s="11"/>
      <c r="W10" s="12"/>
      <c r="X10" s="14"/>
      <c r="Y10" s="15"/>
      <c r="Z10" s="14"/>
    </row>
    <row r="11" spans="1:26" ht="27">
      <c r="A11" s="16" t="str">
        <f>Partidos!A11&amp;"-"&amp;Partidos!B11&amp;LEFT("...............",25-LEN(Partidos!A11&amp;"-"&amp;Partidos!B11))&amp;(ROW()-1)</f>
        <v>Malaga-Eibar.............10</v>
      </c>
      <c r="B11" s="11" t="s">
        <v>25</v>
      </c>
      <c r="C11" s="12" t="s">
        <v>25</v>
      </c>
      <c r="D11" s="11">
        <v>2</v>
      </c>
      <c r="E11" s="12" t="s">
        <v>25</v>
      </c>
      <c r="F11" s="11">
        <v>1</v>
      </c>
      <c r="G11" s="12" t="s">
        <v>25</v>
      </c>
      <c r="H11" s="11" t="s">
        <v>25</v>
      </c>
      <c r="I11" s="12">
        <v>2</v>
      </c>
      <c r="J11" s="11" t="s">
        <v>25</v>
      </c>
      <c r="K11" s="12">
        <v>2</v>
      </c>
      <c r="L11" s="12">
        <v>1</v>
      </c>
      <c r="M11" s="12">
        <v>1</v>
      </c>
      <c r="N11" s="11">
        <v>1</v>
      </c>
      <c r="O11" s="12" t="s">
        <v>25</v>
      </c>
      <c r="P11" s="11">
        <v>1</v>
      </c>
      <c r="Q11" s="12">
        <v>2</v>
      </c>
      <c r="R11" s="11">
        <v>1</v>
      </c>
      <c r="S11" s="12" t="s">
        <v>25</v>
      </c>
      <c r="T11" s="13">
        <v>2</v>
      </c>
      <c r="U11" s="12" t="s">
        <v>25</v>
      </c>
      <c r="V11" s="11">
        <v>2</v>
      </c>
      <c r="W11" s="12"/>
      <c r="X11" s="14"/>
      <c r="Y11" s="15"/>
      <c r="Z11" s="14"/>
    </row>
    <row r="12" spans="1:26" ht="27">
      <c r="A12" s="18" t="str">
        <f>Partidos!A12&amp;"-"&amp;Partidos!B12&amp;LEFT("...............",25-LEN(Partidos!A12&amp;"-"&amp;Partidos!B12))&amp;(ROW()-1)</f>
        <v>Granada-Deportivo........11</v>
      </c>
      <c r="B12" s="19">
        <v>1</v>
      </c>
      <c r="C12" s="20" t="s">
        <v>25</v>
      </c>
      <c r="D12" s="19">
        <v>1</v>
      </c>
      <c r="E12" s="20">
        <v>1</v>
      </c>
      <c r="F12" s="19">
        <v>1</v>
      </c>
      <c r="G12" s="20">
        <v>1</v>
      </c>
      <c r="H12" s="19" t="s">
        <v>25</v>
      </c>
      <c r="I12" s="20">
        <v>1</v>
      </c>
      <c r="J12" s="19">
        <v>1</v>
      </c>
      <c r="K12" s="20" t="s">
        <v>25</v>
      </c>
      <c r="L12" s="20" t="s">
        <v>25</v>
      </c>
      <c r="M12" s="20">
        <v>2</v>
      </c>
      <c r="N12" s="19" t="s">
        <v>25</v>
      </c>
      <c r="O12" s="20">
        <v>2</v>
      </c>
      <c r="P12" s="19" t="s">
        <v>25</v>
      </c>
      <c r="Q12" s="20">
        <v>1</v>
      </c>
      <c r="R12" s="19" t="s">
        <v>25</v>
      </c>
      <c r="S12" s="20">
        <v>1</v>
      </c>
      <c r="T12" s="21">
        <v>1</v>
      </c>
      <c r="U12" s="20" t="s">
        <v>25</v>
      </c>
      <c r="V12" s="19"/>
      <c r="W12" s="20"/>
      <c r="X12" s="22"/>
      <c r="Y12" s="23"/>
      <c r="Z12" s="22"/>
    </row>
    <row r="13" spans="1:26" ht="27">
      <c r="A13" s="16" t="str">
        <f>Partidos!A13&amp;"-"&amp;Partidos!B13&amp;LEFT("...............",25-LEN(Partidos!A13&amp;"-"&amp;Partidos!B13))&amp;(ROW()-1)</f>
        <v>Cádiz-Mirandés...........12</v>
      </c>
      <c r="B13" s="11">
        <v>2</v>
      </c>
      <c r="C13" s="12">
        <v>1</v>
      </c>
      <c r="D13" s="11">
        <v>1</v>
      </c>
      <c r="E13" s="12">
        <v>1</v>
      </c>
      <c r="F13" s="11">
        <v>1</v>
      </c>
      <c r="G13" s="12">
        <v>1</v>
      </c>
      <c r="H13" s="11">
        <v>1</v>
      </c>
      <c r="I13" s="12">
        <v>1</v>
      </c>
      <c r="J13" s="11">
        <v>1</v>
      </c>
      <c r="K13" s="12">
        <v>1</v>
      </c>
      <c r="L13" s="12">
        <v>1</v>
      </c>
      <c r="M13" s="12">
        <v>1</v>
      </c>
      <c r="N13" s="11">
        <v>2</v>
      </c>
      <c r="O13" s="12">
        <v>1</v>
      </c>
      <c r="P13" s="11">
        <v>1</v>
      </c>
      <c r="Q13" s="12" t="s">
        <v>25</v>
      </c>
      <c r="R13" s="11">
        <v>1</v>
      </c>
      <c r="S13" s="12">
        <v>1</v>
      </c>
      <c r="T13" s="13">
        <v>1</v>
      </c>
      <c r="U13" s="12">
        <v>1</v>
      </c>
      <c r="V13" s="11"/>
      <c r="W13" s="12"/>
      <c r="X13" s="14"/>
      <c r="Y13" s="15"/>
      <c r="Z13" s="14"/>
    </row>
    <row r="14" spans="1:26" ht="27">
      <c r="A14" s="16" t="str">
        <f>Partidos!A14&amp;"-"&amp;Partidos!B14&amp;LEFT("...............",25-LEN(Partidos!A14&amp;"-"&amp;Partidos!B14))&amp;(ROW()-1)</f>
        <v>Huesca-Leganés...........13</v>
      </c>
      <c r="B14" s="11">
        <v>2</v>
      </c>
      <c r="C14" s="12" t="s">
        <v>25</v>
      </c>
      <c r="D14" s="11" t="s">
        <v>25</v>
      </c>
      <c r="E14" s="12">
        <v>2</v>
      </c>
      <c r="F14" s="11">
        <v>1</v>
      </c>
      <c r="G14" s="12" t="s">
        <v>25</v>
      </c>
      <c r="H14" s="11">
        <v>2</v>
      </c>
      <c r="I14" s="12" t="s">
        <v>25</v>
      </c>
      <c r="J14" s="11">
        <v>1</v>
      </c>
      <c r="K14" s="12" t="s">
        <v>25</v>
      </c>
      <c r="L14" s="12">
        <v>2</v>
      </c>
      <c r="M14" s="12">
        <v>1</v>
      </c>
      <c r="N14" s="11" t="s">
        <v>25</v>
      </c>
      <c r="O14" s="12">
        <v>1</v>
      </c>
      <c r="P14" s="11">
        <v>1</v>
      </c>
      <c r="Q14" s="12">
        <v>2</v>
      </c>
      <c r="R14" s="11" t="s">
        <v>25</v>
      </c>
      <c r="S14" s="12">
        <v>2</v>
      </c>
      <c r="T14" s="13">
        <v>2</v>
      </c>
      <c r="U14" s="12" t="s">
        <v>25</v>
      </c>
      <c r="V14" s="11">
        <v>2</v>
      </c>
      <c r="W14" s="12"/>
      <c r="X14" s="14"/>
      <c r="Y14" s="15"/>
      <c r="Z14" s="14"/>
    </row>
    <row r="15" spans="1:26" ht="4.5" customHeight="1">
      <c r="A15" s="18" t="str">
        <f>Partidos!A15&amp;"-"&amp;Partidos!B15&amp;LEFT("...................",25-LEN(Partidos!A15&amp;"-"&amp;Partidos!B15))&amp;(ROW()-1)</f>
        <v>Las Palmas-Andorra.......14</v>
      </c>
      <c r="B15" s="19">
        <v>1</v>
      </c>
      <c r="C15" s="20">
        <v>1</v>
      </c>
      <c r="D15" s="19">
        <v>1</v>
      </c>
      <c r="E15" s="20">
        <v>1</v>
      </c>
      <c r="F15" s="19">
        <v>1</v>
      </c>
      <c r="G15" s="20">
        <v>1</v>
      </c>
      <c r="H15" s="19">
        <v>1</v>
      </c>
      <c r="I15" s="20">
        <v>1</v>
      </c>
      <c r="J15" s="19">
        <v>1</v>
      </c>
      <c r="K15" s="20" t="s">
        <v>25</v>
      </c>
      <c r="L15" s="20">
        <v>1</v>
      </c>
      <c r="M15" s="20">
        <v>1</v>
      </c>
      <c r="N15" s="19">
        <v>1</v>
      </c>
      <c r="O15" s="20" t="s">
        <v>25</v>
      </c>
      <c r="P15" s="19">
        <v>1</v>
      </c>
      <c r="Q15" s="24">
        <v>1</v>
      </c>
      <c r="R15" s="19">
        <v>1</v>
      </c>
      <c r="S15" s="20">
        <v>1</v>
      </c>
      <c r="T15" s="21">
        <v>1</v>
      </c>
      <c r="U15" s="20">
        <v>1</v>
      </c>
      <c r="V15" s="19"/>
      <c r="W15" s="20"/>
      <c r="X15" s="22"/>
      <c r="Y15" s="23"/>
      <c r="Z15" s="22"/>
    </row>
    <row r="16" spans="1:26" ht="1.5" customHeight="1">
      <c r="A16" s="25"/>
      <c r="B16" s="53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5"/>
      <c r="W16" s="26"/>
      <c r="X16" s="26"/>
      <c r="Y16" s="26"/>
      <c r="Z16" s="26"/>
    </row>
    <row r="17" spans="1:26" ht="27">
      <c r="A17" s="27" t="str">
        <f>Partidos!A16&amp;"-"&amp;Partidos!B16&amp;LEFT("...............",25-LEN(Partidos!A16&amp;"-"&amp;Partidos!B16))&amp;(ROW()-2)</f>
        <v>Elche-Betis..............15</v>
      </c>
      <c r="B17" s="28"/>
      <c r="C17" s="29"/>
      <c r="D17" s="28"/>
      <c r="E17" s="29"/>
      <c r="F17" s="28"/>
      <c r="G17" s="29"/>
      <c r="H17" s="28"/>
      <c r="I17" s="29"/>
      <c r="J17" s="28"/>
      <c r="K17" s="29"/>
      <c r="L17" s="28"/>
      <c r="M17" s="29"/>
      <c r="N17" s="28"/>
      <c r="O17" s="29"/>
      <c r="P17" s="28"/>
      <c r="Q17" s="29"/>
      <c r="R17" s="28"/>
      <c r="S17" s="29"/>
      <c r="T17" s="30"/>
      <c r="U17" s="31">
        <v>0</v>
      </c>
      <c r="V17" s="32">
        <v>2</v>
      </c>
      <c r="W17" s="33"/>
      <c r="X17" s="33"/>
      <c r="Y17" s="33"/>
      <c r="Z17" s="33"/>
    </row>
    <row r="18" spans="1:26" ht="4.5" customHeight="1">
      <c r="A18" s="34"/>
      <c r="B18" s="35"/>
      <c r="C18" s="36"/>
      <c r="D18" s="35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7"/>
      <c r="U18" s="56"/>
      <c r="V18" s="57"/>
      <c r="W18" s="56"/>
      <c r="X18" s="57"/>
      <c r="Y18" s="56"/>
      <c r="Z18" s="57"/>
    </row>
    <row r="19" spans="1:26" ht="15.5">
      <c r="A19" s="5" t="s">
        <v>26</v>
      </c>
      <c r="B19" s="38">
        <f t="shared" ref="B19:T19" si="0">SUM(B23:B38)</f>
        <v>6</v>
      </c>
      <c r="C19" s="38">
        <f t="shared" si="0"/>
        <v>8</v>
      </c>
      <c r="D19" s="38">
        <f t="shared" si="0"/>
        <v>7</v>
      </c>
      <c r="E19" s="38">
        <f t="shared" si="0"/>
        <v>7</v>
      </c>
      <c r="F19" s="38">
        <f t="shared" si="0"/>
        <v>8</v>
      </c>
      <c r="G19" s="38">
        <f t="shared" si="0"/>
        <v>7</v>
      </c>
      <c r="H19" s="38">
        <f t="shared" si="0"/>
        <v>8</v>
      </c>
      <c r="I19" s="38">
        <f t="shared" si="0"/>
        <v>7</v>
      </c>
      <c r="J19" s="38">
        <f t="shared" si="0"/>
        <v>6</v>
      </c>
      <c r="K19" s="38">
        <f t="shared" si="0"/>
        <v>5</v>
      </c>
      <c r="L19" s="38">
        <f t="shared" si="0"/>
        <v>4</v>
      </c>
      <c r="M19" s="38">
        <f t="shared" si="0"/>
        <v>7</v>
      </c>
      <c r="N19" s="38">
        <f t="shared" si="0"/>
        <v>5</v>
      </c>
      <c r="O19" s="38">
        <f t="shared" si="0"/>
        <v>8</v>
      </c>
      <c r="P19" s="38">
        <f t="shared" si="0"/>
        <v>3</v>
      </c>
      <c r="Q19" s="38">
        <f t="shared" si="0"/>
        <v>5</v>
      </c>
      <c r="R19" s="38">
        <f t="shared" si="0"/>
        <v>7</v>
      </c>
      <c r="S19" s="38">
        <f t="shared" si="0"/>
        <v>6</v>
      </c>
      <c r="T19" s="38">
        <f t="shared" si="0"/>
        <v>7</v>
      </c>
      <c r="U19" s="58">
        <f>SUM(U23:V38)</f>
        <v>8</v>
      </c>
      <c r="V19" s="59"/>
      <c r="W19" s="61">
        <f>SUM(W23:X38)</f>
        <v>0</v>
      </c>
      <c r="X19" s="59"/>
      <c r="Y19" s="61">
        <f>SUM(Y23:Z38)</f>
        <v>0</v>
      </c>
      <c r="Z19" s="59"/>
    </row>
    <row r="20" spans="1:26" ht="13">
      <c r="A20" s="5" t="s">
        <v>27</v>
      </c>
      <c r="B20" s="39">
        <f t="shared" ref="B20:Q20" si="1">IF(COUNTIF(B2:B15,1)=10,"+0,10",IF(COUNTIF(B2:B15,1)=11,"+0,20",IF(COUNTIF(B2:B15,1)=12,"+0,30",IF(COUNTIF(B2:B15,1)=13,"+0,40",IF(COUNTIF(B2:B15,1)=14,"+0,50",COUNTIF(B2:B15,1))))))</f>
        <v>7</v>
      </c>
      <c r="C20" s="39">
        <f t="shared" si="1"/>
        <v>9</v>
      </c>
      <c r="D20" s="39">
        <f t="shared" si="1"/>
        <v>8</v>
      </c>
      <c r="E20" s="39">
        <f t="shared" si="1"/>
        <v>8</v>
      </c>
      <c r="F20" s="39">
        <f t="shared" si="1"/>
        <v>9</v>
      </c>
      <c r="G20" s="39">
        <f t="shared" si="1"/>
        <v>8</v>
      </c>
      <c r="H20" s="39">
        <f t="shared" si="1"/>
        <v>7</v>
      </c>
      <c r="I20" s="39">
        <f t="shared" si="1"/>
        <v>8</v>
      </c>
      <c r="J20" s="39" t="str">
        <f t="shared" si="1"/>
        <v>+0,10</v>
      </c>
      <c r="K20" s="39">
        <f t="shared" si="1"/>
        <v>5</v>
      </c>
      <c r="L20" s="39">
        <f t="shared" si="1"/>
        <v>8</v>
      </c>
      <c r="M20" s="39">
        <f t="shared" si="1"/>
        <v>8</v>
      </c>
      <c r="N20" s="39">
        <f t="shared" si="1"/>
        <v>8</v>
      </c>
      <c r="O20" s="39">
        <f t="shared" si="1"/>
        <v>7</v>
      </c>
      <c r="P20" s="39">
        <f t="shared" si="1"/>
        <v>8</v>
      </c>
      <c r="Q20" s="39">
        <f t="shared" si="1"/>
        <v>6</v>
      </c>
      <c r="R20" s="39">
        <f>IF(COUNTIF(R1:R15,1)=10,"+0,10",IF(COUNTIF(R1:R15,1)=11,"+0,20",IF(COUNTIF(R1:R15,1)=12,"+0,30",IF(COUNTIF(R1:R15,1)=13,"+0,40",IF(COUNTIF(R1:R15,1)=14,"+0,50",COUNTIF(R1:R15,1))))))</f>
        <v>9</v>
      </c>
      <c r="S20" s="39">
        <f t="shared" ref="S20:T20" si="2">IF(COUNTIF(S2:S15,1)=10,"+0,10",IF(COUNTIF(S2:S15,1)=11,"+0,20",IF(COUNTIF(S2:S15,1)=12,"+0,30",IF(COUNTIF(S2:S15,1)=13,"+0,40",IF(COUNTIF(S2:S15,1)=14,"+0,50",COUNTIF(S2:S15,1))))))</f>
        <v>9</v>
      </c>
      <c r="T20" s="40">
        <f t="shared" si="2"/>
        <v>9</v>
      </c>
      <c r="U20" s="60"/>
      <c r="V20" s="60"/>
      <c r="W20" s="60"/>
      <c r="X20" s="60"/>
      <c r="Y20" s="60"/>
      <c r="Z20" s="60"/>
    </row>
    <row r="21" spans="1:26" ht="12.5" hidden="1">
      <c r="A21" s="34"/>
      <c r="B21" s="34"/>
      <c r="C21" s="34"/>
      <c r="D21" s="37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7"/>
      <c r="U21" s="37"/>
      <c r="V21" s="37"/>
      <c r="W21" s="37"/>
      <c r="X21" s="37"/>
      <c r="Y21" s="37"/>
      <c r="Z21" s="37"/>
    </row>
    <row r="22" spans="1:26" ht="12.5" hidden="1">
      <c r="A22" s="34"/>
      <c r="B22" s="34"/>
      <c r="C22" s="34"/>
      <c r="D22" s="37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7"/>
      <c r="U22" s="37"/>
      <c r="V22" s="37"/>
      <c r="W22" s="37"/>
      <c r="X22" s="37"/>
      <c r="Y22" s="37"/>
      <c r="Z22" s="37"/>
    </row>
    <row r="23" spans="1:26" ht="12.5" hidden="1">
      <c r="A23" s="34"/>
      <c r="B23" s="37">
        <f>IF(B2="","",IF(B2=Partidos!$C2,1,0))</f>
        <v>1</v>
      </c>
      <c r="C23" s="37">
        <f>IF(C2="","",IF(C2=Partidos!$C2,1,0))</f>
        <v>0</v>
      </c>
      <c r="D23" s="37">
        <f>IF(D2="","",IF(D2=Partidos!$C2,1,0))</f>
        <v>0</v>
      </c>
      <c r="E23" s="37">
        <f>IF(E2="","",IF(E2=Partidos!$C2,1,0))</f>
        <v>0</v>
      </c>
      <c r="F23" s="37">
        <f>IF(F2="","",IF(F2=Partidos!$C2,1,0))</f>
        <v>1</v>
      </c>
      <c r="G23" s="37">
        <f>IF(G2="","",IF(G2=Partidos!$C2,1,0))</f>
        <v>0</v>
      </c>
      <c r="H23" s="37">
        <f>IF(H2="","",IF(H2=Partidos!$C2,1,0))</f>
        <v>1</v>
      </c>
      <c r="I23" s="37">
        <f>IF(I2="","",IF(I2=Partidos!$C2,1,0))</f>
        <v>0</v>
      </c>
      <c r="J23" s="37">
        <f>IF(J2="","",IF(J2=Partidos!$C2,1,0))</f>
        <v>0</v>
      </c>
      <c r="K23" s="37">
        <f>IF(K2="","",IF(K2=Partidos!$C2,1,0))</f>
        <v>0</v>
      </c>
      <c r="L23" s="37">
        <f>IF(L2="","",IF(L2=Partidos!$C2,1,0))</f>
        <v>0</v>
      </c>
      <c r="M23" s="37">
        <f>IF(M2="","",IF(M2=Partidos!$C2,1,0))</f>
        <v>1</v>
      </c>
      <c r="N23" s="37">
        <f>IF(N2="","",IF(N2=Partidos!$C2,1,0))</f>
        <v>0</v>
      </c>
      <c r="O23" s="37">
        <f>IF(O2="","",IF(O2=Partidos!$C2,1,0))</f>
        <v>0</v>
      </c>
      <c r="P23" s="37">
        <f>IF(P2="","",IF(P2=Partidos!$C2,1,0))</f>
        <v>0</v>
      </c>
      <c r="Q23" s="37">
        <f>IF(Q2="","",IF(Q2=Partidos!$C2,1,0))</f>
        <v>0</v>
      </c>
      <c r="R23" s="37">
        <f>IF(R2="","",IF(R2=Partidos!$C2,1,0))</f>
        <v>0</v>
      </c>
      <c r="S23" s="37">
        <f>IF(S2="","",IF(S2=Partidos!$C2,1,0))</f>
        <v>0</v>
      </c>
      <c r="T23" s="37">
        <f>IF(T2="","",IF(T2=Partidos!$C2,1,0))</f>
        <v>0</v>
      </c>
      <c r="U23" s="37">
        <f>IF(U2="","",IF(U2=Partidos!$C2,1,0))</f>
        <v>0</v>
      </c>
      <c r="V23" s="37">
        <f>IF(V2="","",IF(V2=Partidos!$C2,1,0))</f>
        <v>0</v>
      </c>
      <c r="W23" s="34"/>
      <c r="X23" s="34"/>
      <c r="Y23" s="34"/>
      <c r="Z23" s="34"/>
    </row>
    <row r="24" spans="1:26" ht="14.25" hidden="1" customHeight="1">
      <c r="A24" s="34"/>
      <c r="B24" s="37">
        <f>IF(B3="","",IF(B3=Partidos!$C3,1,0))</f>
        <v>1</v>
      </c>
      <c r="C24" s="37">
        <f>IF(C3="","",IF(C3=Partidos!$C3,1,0))</f>
        <v>1</v>
      </c>
      <c r="D24" s="37">
        <f>IF(D3="","",IF(D3=Partidos!$C3,1,0))</f>
        <v>1</v>
      </c>
      <c r="E24" s="37">
        <f>IF(E3="","",IF(E3=Partidos!$C3,1,0))</f>
        <v>1</v>
      </c>
      <c r="F24" s="37">
        <f>IF(F3="","",IF(F3=Partidos!$C3,1,0))</f>
        <v>1</v>
      </c>
      <c r="G24" s="37">
        <f>IF(G3="","",IF(G3=Partidos!$C3,1,0))</f>
        <v>1</v>
      </c>
      <c r="H24" s="37">
        <f>IF(H3="","",IF(H3=Partidos!$C3,1,0))</f>
        <v>1</v>
      </c>
      <c r="I24" s="37">
        <f>IF(I3="","",IF(I3=Partidos!$C3,1,0))</f>
        <v>1</v>
      </c>
      <c r="J24" s="37">
        <f>IF(J3="","",IF(J3=Partidos!$C3,1,0))</f>
        <v>1</v>
      </c>
      <c r="K24" s="37">
        <f>IF(K3="","",IF(K3=Partidos!$C3,1,0))</f>
        <v>0</v>
      </c>
      <c r="L24" s="37">
        <f>IF(L3="","",IF(L3=Partidos!$C3,1,0))</f>
        <v>1</v>
      </c>
      <c r="M24" s="37">
        <f>IF(M3="","",IF(M3=Partidos!$C3,1,0))</f>
        <v>0</v>
      </c>
      <c r="N24" s="37">
        <f>IF(N3="","",IF(N3=Partidos!$C3,1,0))</f>
        <v>1</v>
      </c>
      <c r="O24" s="37">
        <f>IF(O3="","",IF(O3=Partidos!$C3,1,0))</f>
        <v>1</v>
      </c>
      <c r="P24" s="37">
        <f>IF(P3="","",IF(P3=Partidos!$C3,1,0))</f>
        <v>1</v>
      </c>
      <c r="Q24" s="37">
        <f>IF(Q3="","",IF(Q3=Partidos!$C3,1,0))</f>
        <v>1</v>
      </c>
      <c r="R24" s="37">
        <f>IF(R3="","",IF(R3=Partidos!$C3,1,0))</f>
        <v>1</v>
      </c>
      <c r="S24" s="37">
        <f>IF(S3="","",IF(S3=Partidos!$C3,1,0))</f>
        <v>1</v>
      </c>
      <c r="T24" s="37">
        <f>IF(T3="","",IF(T3=Partidos!$C3,1,0))</f>
        <v>1</v>
      </c>
      <c r="U24" s="37">
        <f>IF(U3="","",IF(U3=Partidos!$C3,1,0))</f>
        <v>1</v>
      </c>
      <c r="V24" s="37" t="str">
        <f>IF(V3="","",IF(V3=Partidos!$C3,1,0))</f>
        <v/>
      </c>
      <c r="W24" s="34"/>
      <c r="X24" s="34"/>
      <c r="Y24" s="34"/>
      <c r="Z24" s="34"/>
    </row>
    <row r="25" spans="1:26" ht="12.5" hidden="1">
      <c r="A25" s="34"/>
      <c r="B25" s="37">
        <f>IF(B4="","",IF(B4=Partidos!$C4,1,0))</f>
        <v>0</v>
      </c>
      <c r="C25" s="37">
        <f>IF(C4="","",IF(C4=Partidos!$C4,1,0))</f>
        <v>1</v>
      </c>
      <c r="D25" s="37">
        <f>IF(D4="","",IF(D4=Partidos!$C4,1,0))</f>
        <v>0</v>
      </c>
      <c r="E25" s="37">
        <f>IF(E4="","",IF(E4=Partidos!$C4,1,0))</f>
        <v>0</v>
      </c>
      <c r="F25" s="37">
        <f>IF(F4="","",IF(F4=Partidos!$C4,1,0))</f>
        <v>1</v>
      </c>
      <c r="G25" s="37">
        <f>IF(G4="","",IF(G4=Partidos!$C4,1,0))</f>
        <v>0</v>
      </c>
      <c r="H25" s="37">
        <f>IF(H4="","",IF(H4=Partidos!$C4,1,0))</f>
        <v>1</v>
      </c>
      <c r="I25" s="37">
        <f>IF(I4="","",IF(I4=Partidos!$C4,1,0))</f>
        <v>1</v>
      </c>
      <c r="J25" s="37">
        <f>IF(J4="","",IF(J4=Partidos!$C4,1,0))</f>
        <v>0</v>
      </c>
      <c r="K25" s="37">
        <f>IF(K4="","",IF(K4=Partidos!$C4,1,0))</f>
        <v>0</v>
      </c>
      <c r="L25" s="37">
        <f>IF(L4="","",IF(L4=Partidos!$C4,1,0))</f>
        <v>0</v>
      </c>
      <c r="M25" s="37">
        <f>IF(M4="","",IF(M4=Partidos!$C4,1,0))</f>
        <v>1</v>
      </c>
      <c r="N25" s="37">
        <f>IF(N4="","",IF(N4=Partidos!$C4,1,0))</f>
        <v>0</v>
      </c>
      <c r="O25" s="37">
        <f>IF(O4="","",IF(O4=Partidos!$C4,1,0))</f>
        <v>0</v>
      </c>
      <c r="P25" s="37">
        <f>IF(P4="","",IF(P4=Partidos!$C4,1,0))</f>
        <v>0</v>
      </c>
      <c r="Q25" s="37">
        <f>IF(Q4="","",IF(Q4=Partidos!$C4,1,0))</f>
        <v>1</v>
      </c>
      <c r="R25" s="37">
        <f>IF(R4="","",IF(R4=Partidos!$C4,1,0))</f>
        <v>1</v>
      </c>
      <c r="S25" s="37">
        <f>IF(S4="","",IF(S4=Partidos!$C4,1,0))</f>
        <v>0</v>
      </c>
      <c r="T25" s="37">
        <f>IF(T4="","",IF(T4=Partidos!$C4,1,0))</f>
        <v>0</v>
      </c>
      <c r="U25" s="37">
        <f>IF(U4="","",IF(U4=Partidos!$C4,1,0))</f>
        <v>1</v>
      </c>
      <c r="V25" s="37">
        <f>IF(V4="","",IF(V4=Partidos!$C4,1,0))</f>
        <v>0</v>
      </c>
      <c r="W25" s="34"/>
      <c r="X25" s="34"/>
      <c r="Y25" s="34"/>
      <c r="Z25" s="34"/>
    </row>
    <row r="26" spans="1:26" ht="12.5" hidden="1">
      <c r="A26" s="34"/>
      <c r="B26" s="41">
        <f>IF(B5="","",IF(B5=Partidos!$C5,1,0))</f>
        <v>1</v>
      </c>
      <c r="C26" s="41">
        <f>IF(C5="","",IF(C5=Partidos!$C5,1,0))</f>
        <v>1</v>
      </c>
      <c r="D26" s="41">
        <f>IF(D5="","",IF(D5=Partidos!$C5,1,0))</f>
        <v>1</v>
      </c>
      <c r="E26" s="41">
        <f>IF(E5="","",IF(E5=Partidos!$C5,1,0))</f>
        <v>1</v>
      </c>
      <c r="F26" s="41">
        <f>IF(F5="","",IF(F5=Partidos!$C5,1,0))</f>
        <v>1</v>
      </c>
      <c r="G26" s="41">
        <f>IF(G5="","",IF(G5=Partidos!$C5,1,0))</f>
        <v>1</v>
      </c>
      <c r="H26" s="41">
        <f>IF(H5="","",IF(H5=Partidos!$C5,1,0))</f>
        <v>1</v>
      </c>
      <c r="I26" s="41">
        <f>IF(I5="","",IF(I5=Partidos!$C5,1,0))</f>
        <v>1</v>
      </c>
      <c r="J26" s="41">
        <f>IF(J5="","",IF(J5=Partidos!$C5,1,0))</f>
        <v>1</v>
      </c>
      <c r="K26" s="41">
        <f>IF(K5="","",IF(K5=Partidos!$C5,1,0))</f>
        <v>0</v>
      </c>
      <c r="L26" s="41">
        <f>IF(L5="","",IF(L5=Partidos!$C5,1,0))</f>
        <v>1</v>
      </c>
      <c r="M26" s="41">
        <f>IF(M5="","",IF(M5=Partidos!$C5,1,0))</f>
        <v>1</v>
      </c>
      <c r="N26" s="41">
        <f>IF(N5="","",IF(N5=Partidos!$C5,1,0))</f>
        <v>1</v>
      </c>
      <c r="O26" s="41">
        <f>IF(O5="","",IF(O5=Partidos!$C5,1,0))</f>
        <v>1</v>
      </c>
      <c r="P26" s="41">
        <f>IF(P5="","",IF(P5=Partidos!$C5,1,0))</f>
        <v>1</v>
      </c>
      <c r="Q26" s="41">
        <f>IF(Q5="","",IF(Q5=Partidos!$C5,1,0))</f>
        <v>1</v>
      </c>
      <c r="R26" s="41">
        <f>IF(R5="","",IF(R5=Partidos!$C5,1,0))</f>
        <v>1</v>
      </c>
      <c r="S26" s="41">
        <f>IF(S5="","",IF(S5=Partidos!$C5,1,0))</f>
        <v>1</v>
      </c>
      <c r="T26" s="41">
        <f>IF(T5="","",IF(T5=Partidos!$C5,1,0))</f>
        <v>1</v>
      </c>
      <c r="U26" s="41">
        <f>IF(U5="","",IF(U5=Partidos!$C5,1,0))</f>
        <v>1</v>
      </c>
      <c r="V26" s="41" t="str">
        <f>IF(V5="","",IF(V5=Partidos!$C5,1,0))</f>
        <v/>
      </c>
      <c r="W26" s="34"/>
      <c r="X26" s="34"/>
      <c r="Y26" s="34"/>
      <c r="Z26" s="34"/>
    </row>
    <row r="27" spans="1:26" ht="12.5" hidden="1">
      <c r="A27" s="34"/>
      <c r="B27" s="37">
        <f>IF(B6="","",IF(B6=Partidos!$C6,1,0))</f>
        <v>0</v>
      </c>
      <c r="C27" s="37">
        <f>IF(C6="","",IF(C6=Partidos!$C6,1,0))</f>
        <v>0</v>
      </c>
      <c r="D27" s="37">
        <f>IF(D6="","",IF(D6=Partidos!$C6,1,0))</f>
        <v>1</v>
      </c>
      <c r="E27" s="37">
        <f>IF(E6="","",IF(E6=Partidos!$C6,1,0))</f>
        <v>1</v>
      </c>
      <c r="F27" s="37">
        <f>IF(F6="","",IF(F6=Partidos!$C6,1,0))</f>
        <v>1</v>
      </c>
      <c r="G27" s="37">
        <f>IF(G6="","",IF(G6=Partidos!$C6,1,0))</f>
        <v>0</v>
      </c>
      <c r="H27" s="37">
        <f>IF(H6="","",IF(H6=Partidos!$C6,1,0))</f>
        <v>0</v>
      </c>
      <c r="I27" s="37">
        <f>IF(I6="","",IF(I6=Partidos!$C6,1,0))</f>
        <v>0</v>
      </c>
      <c r="J27" s="37">
        <f>IF(J6="","",IF(J6=Partidos!$C6,1,0))</f>
        <v>0</v>
      </c>
      <c r="K27" s="37">
        <f>IF(K6="","",IF(K6=Partidos!$C6,1,0))</f>
        <v>0</v>
      </c>
      <c r="L27" s="37">
        <f>IF(L6="","",IF(L6=Partidos!$C6,1,0))</f>
        <v>0</v>
      </c>
      <c r="M27" s="37">
        <f>IF(M6="","",IF(M6=Partidos!$C6,1,0))</f>
        <v>0</v>
      </c>
      <c r="N27" s="37">
        <f>IF(N6="","",IF(N6=Partidos!$C6,1,0))</f>
        <v>0</v>
      </c>
      <c r="O27" s="37">
        <f>IF(O6="","",IF(O6=Partidos!$C6,1,0))</f>
        <v>0</v>
      </c>
      <c r="P27" s="37">
        <f>IF(P6="","",IF(P6=Partidos!$C6,1,0))</f>
        <v>0</v>
      </c>
      <c r="Q27" s="37">
        <f>IF(Q6="","",IF(Q6=Partidos!$C6,1,0))</f>
        <v>1</v>
      </c>
      <c r="R27" s="37">
        <f>IF(R6="","",IF(R6=Partidos!$C6,1,0))</f>
        <v>0</v>
      </c>
      <c r="S27" s="37">
        <f>IF(S6="","",IF(S6=Partidos!$C6,1,0))</f>
        <v>0</v>
      </c>
      <c r="T27" s="37">
        <f>IF(T6="","",IF(T6=Partidos!$C6,1,0))</f>
        <v>1</v>
      </c>
      <c r="U27" s="37">
        <f>IF(U6="","",IF(U6=Partidos!$C6,1,0))</f>
        <v>0</v>
      </c>
      <c r="V27" s="37" t="str">
        <f>IF(V6="","",IF(V6=Partidos!$C6,1,0))</f>
        <v/>
      </c>
      <c r="W27" s="34"/>
      <c r="X27" s="34"/>
      <c r="Y27" s="34"/>
      <c r="Z27" s="34"/>
    </row>
    <row r="28" spans="1:26" ht="12.5" hidden="1">
      <c r="A28" s="34"/>
      <c r="B28" s="37">
        <f>IF(B7="","",IF(B7=Partidos!$C7,1,0))</f>
        <v>0</v>
      </c>
      <c r="C28" s="37">
        <f>IF(C7="","",IF(C7=Partidos!$C7,1,0))</f>
        <v>0</v>
      </c>
      <c r="D28" s="37">
        <f>IF(D7="","",IF(D7=Partidos!$C7,1,0))</f>
        <v>0</v>
      </c>
      <c r="E28" s="37">
        <f>IF(E7="","",IF(E7=Partidos!$C7,1,0))</f>
        <v>0</v>
      </c>
      <c r="F28" s="37">
        <f>IF(F7="","",IF(F7=Partidos!$C7,1,0))</f>
        <v>0</v>
      </c>
      <c r="G28" s="37">
        <f>IF(G7="","",IF(G7=Partidos!$C7,1,0))</f>
        <v>0</v>
      </c>
      <c r="H28" s="37">
        <f>IF(H7="","",IF(H7=Partidos!$C7,1,0))</f>
        <v>0</v>
      </c>
      <c r="I28" s="37">
        <f>IF(I7="","",IF(I7=Partidos!$C7,1,0))</f>
        <v>0</v>
      </c>
      <c r="J28" s="37">
        <f>IF(J7="","",IF(J7=Partidos!$C7,1,0))</f>
        <v>0</v>
      </c>
      <c r="K28" s="37">
        <f>IF(K7="","",IF(K7=Partidos!$C7,1,0))</f>
        <v>0</v>
      </c>
      <c r="L28" s="37">
        <f>IF(L7="","",IF(L7=Partidos!$C7,1,0))</f>
        <v>0</v>
      </c>
      <c r="M28" s="37">
        <f>IF(M7="","",IF(M7=Partidos!$C7,1,0))</f>
        <v>0</v>
      </c>
      <c r="N28" s="37">
        <f>IF(N7="","",IF(N7=Partidos!$C7,1,0))</f>
        <v>0</v>
      </c>
      <c r="O28" s="37">
        <f>IF(O7="","",IF(O7=Partidos!$C7,1,0))</f>
        <v>0</v>
      </c>
      <c r="P28" s="37">
        <f>IF(P7="","",IF(P7=Partidos!$C7,1,0))</f>
        <v>0</v>
      </c>
      <c r="Q28" s="37">
        <f>IF(Q7="","",IF(Q7=Partidos!$C7,1,0))</f>
        <v>0</v>
      </c>
      <c r="R28" s="37">
        <f>IF(R7="","",IF(R7=Partidos!$C7,1,0))</f>
        <v>0</v>
      </c>
      <c r="S28" s="37">
        <f>IF(S7="","",IF(S7=Partidos!$C7,1,0))</f>
        <v>0</v>
      </c>
      <c r="T28" s="37">
        <f>IF(T7="","",IF(T7=Partidos!$C7,1,0))</f>
        <v>0</v>
      </c>
      <c r="U28" s="37">
        <f>IF(U7="","",IF(U7=Partidos!$C7,1,0))</f>
        <v>0</v>
      </c>
      <c r="V28" s="37" t="str">
        <f>IF(V7="","",IF(V7=Partidos!$C7,1,0))</f>
        <v/>
      </c>
      <c r="W28" s="34"/>
      <c r="X28" s="34"/>
      <c r="Y28" s="34"/>
      <c r="Z28" s="34"/>
    </row>
    <row r="29" spans="1:26" ht="12.5" hidden="1">
      <c r="A29" s="34"/>
      <c r="B29" s="37">
        <f>IF(B8="","",IF(B8=Partidos!$C8,1,0))</f>
        <v>1</v>
      </c>
      <c r="C29" s="37">
        <f>IF(C8="","",IF(C8=Partidos!$C8,1,0))</f>
        <v>1</v>
      </c>
      <c r="D29" s="37">
        <f>IF(D8="","",IF(D8=Partidos!$C8,1,0))</f>
        <v>1</v>
      </c>
      <c r="E29" s="37">
        <f>IF(E8="","",IF(E8=Partidos!$C8,1,0))</f>
        <v>1</v>
      </c>
      <c r="F29" s="37">
        <f>IF(F8="","",IF(F8=Partidos!$C8,1,0))</f>
        <v>1</v>
      </c>
      <c r="G29" s="37">
        <f>IF(G8="","",IF(G8=Partidos!$C8,1,0))</f>
        <v>1</v>
      </c>
      <c r="H29" s="37">
        <f>IF(H8="","",IF(H8=Partidos!$C8,1,0))</f>
        <v>1</v>
      </c>
      <c r="I29" s="37">
        <f>IF(I8="","",IF(I8=Partidos!$C8,1,0))</f>
        <v>1</v>
      </c>
      <c r="J29" s="37">
        <f>IF(J8="","",IF(J8=Partidos!$C8,1,0))</f>
        <v>1</v>
      </c>
      <c r="K29" s="37">
        <f>IF(K8="","",IF(K8=Partidos!$C8,1,0))</f>
        <v>1</v>
      </c>
      <c r="L29" s="37">
        <f>IF(L8="","",IF(L8=Partidos!$C8,1,0))</f>
        <v>0</v>
      </c>
      <c r="M29" s="37">
        <f>IF(M8="","",IF(M8=Partidos!$C8,1,0))</f>
        <v>1</v>
      </c>
      <c r="N29" s="37">
        <f>IF(N8="","",IF(N8=Partidos!$C8,1,0))</f>
        <v>1</v>
      </c>
      <c r="O29" s="37">
        <f>IF(O8="","",IF(O8=Partidos!$C8,1,0))</f>
        <v>1</v>
      </c>
      <c r="P29" s="37">
        <f>IF(P8="","",IF(P8=Partidos!$C8,1,0))</f>
        <v>0</v>
      </c>
      <c r="Q29" s="37">
        <f>IF(Q8="","",IF(Q8=Partidos!$C8,1,0))</f>
        <v>1</v>
      </c>
      <c r="R29" s="37">
        <f>IF(R8="","",IF(R8=Partidos!$C8,1,0))</f>
        <v>1</v>
      </c>
      <c r="S29" s="37">
        <f>IF(S8="","",IF(S8=Partidos!$C8,1,0))</f>
        <v>1</v>
      </c>
      <c r="T29" s="37">
        <f>IF(T8="","",IF(T8=Partidos!$C8,1,0))</f>
        <v>1</v>
      </c>
      <c r="U29" s="37">
        <f>IF(U8="","",IF(U8=Partidos!$C8,1,0))</f>
        <v>1</v>
      </c>
      <c r="V29" s="37" t="str">
        <f>IF(V8="","",IF(V8=Partidos!$C8,1,0))</f>
        <v/>
      </c>
      <c r="W29" s="34"/>
      <c r="X29" s="34"/>
      <c r="Y29" s="34"/>
      <c r="Z29" s="34"/>
    </row>
    <row r="30" spans="1:26" ht="12.5" hidden="1">
      <c r="A30" s="34"/>
      <c r="B30" s="41">
        <f>IF(B9="","",IF(B9=Partidos!$C9,1,0))</f>
        <v>0</v>
      </c>
      <c r="C30" s="41">
        <f>IF(C9="","",IF(C9=Partidos!$C9,1,0))</f>
        <v>0</v>
      </c>
      <c r="D30" s="41">
        <f>IF(D9="","",IF(D9=Partidos!$C9,1,0))</f>
        <v>0</v>
      </c>
      <c r="E30" s="41">
        <f>IF(E9="","",IF(E9=Partidos!$C9,1,0))</f>
        <v>0</v>
      </c>
      <c r="F30" s="41">
        <f>IF(F9="","",IF(F9=Partidos!$C9,1,0))</f>
        <v>0</v>
      </c>
      <c r="G30" s="41">
        <f>IF(G9="","",IF(G9=Partidos!$C9,1,0))</f>
        <v>0</v>
      </c>
      <c r="H30" s="41">
        <f>IF(H9="","",IF(H9=Partidos!$C9,1,0))</f>
        <v>0</v>
      </c>
      <c r="I30" s="41">
        <f>IF(I9="","",IF(I9=Partidos!$C9,1,0))</f>
        <v>0</v>
      </c>
      <c r="J30" s="41">
        <f>IF(J9="","",IF(J9=Partidos!$C9,1,0))</f>
        <v>0</v>
      </c>
      <c r="K30" s="41">
        <f>IF(K9="","",IF(K9=Partidos!$C9,1,0))</f>
        <v>0</v>
      </c>
      <c r="L30" s="41">
        <f>IF(L9="","",IF(L9=Partidos!$C9,1,0))</f>
        <v>0</v>
      </c>
      <c r="M30" s="41">
        <f>IF(M9="","",IF(M9=Partidos!$C9,1,0))</f>
        <v>0</v>
      </c>
      <c r="N30" s="41">
        <f>IF(N9="","",IF(N9=Partidos!$C9,1,0))</f>
        <v>0</v>
      </c>
      <c r="O30" s="41">
        <f>IF(O9="","",IF(O9=Partidos!$C9,1,0))</f>
        <v>0</v>
      </c>
      <c r="P30" s="41">
        <f>IF(P9="","",IF(P9=Partidos!$C9,1,0))</f>
        <v>0</v>
      </c>
      <c r="Q30" s="41">
        <f>IF(Q9="","",IF(Q9=Partidos!$C9,1,0))</f>
        <v>0</v>
      </c>
      <c r="R30" s="41">
        <f>IF(R9="","",IF(R9=Partidos!$C9,1,0))</f>
        <v>0</v>
      </c>
      <c r="S30" s="41">
        <f>IF(S9="","",IF(S9=Partidos!$C9,1,0))</f>
        <v>0</v>
      </c>
      <c r="T30" s="41">
        <f>IF(T9="","",IF(T9=Partidos!$C9,1,0))</f>
        <v>1</v>
      </c>
      <c r="U30" s="41">
        <f>IF(U9="","",IF(U9=Partidos!$C9,1,0))</f>
        <v>0</v>
      </c>
      <c r="V30" s="41" t="str">
        <f>IF(V9="","",IF(V9=Partidos!$C9,1,0))</f>
        <v/>
      </c>
      <c r="W30" s="34"/>
      <c r="X30" s="34"/>
      <c r="Y30" s="34"/>
      <c r="Z30" s="34"/>
    </row>
    <row r="31" spans="1:26" ht="12.5" hidden="1">
      <c r="A31" s="34"/>
      <c r="B31" s="37">
        <f>IF(B10="","",IF(B10=Partidos!$C10,1,0))</f>
        <v>1</v>
      </c>
      <c r="C31" s="37">
        <f>IF(C10="","",IF(C10=Partidos!$C10,1,0))</f>
        <v>1</v>
      </c>
      <c r="D31" s="37">
        <f>IF(D10="","",IF(D10=Partidos!$C10,1,0))</f>
        <v>1</v>
      </c>
      <c r="E31" s="37">
        <f>IF(E10="","",IF(E10=Partidos!$C10,1,0))</f>
        <v>1</v>
      </c>
      <c r="F31" s="37">
        <f>IF(F10="","",IF(F10=Partidos!$C10,1,0))</f>
        <v>1</v>
      </c>
      <c r="G31" s="37">
        <f>IF(G10="","",IF(G10=Partidos!$C10,1,0))</f>
        <v>1</v>
      </c>
      <c r="H31" s="37">
        <f>IF(H10="","",IF(H10=Partidos!$C10,1,0))</f>
        <v>1</v>
      </c>
      <c r="I31" s="37">
        <f>IF(I10="","",IF(I10=Partidos!$C10,1,0))</f>
        <v>1</v>
      </c>
      <c r="J31" s="37">
        <f>IF(J10="","",IF(J10=Partidos!$C10,1,0))</f>
        <v>1</v>
      </c>
      <c r="K31" s="37">
        <f>IF(K10="","",IF(K10=Partidos!$C10,1,0))</f>
        <v>1</v>
      </c>
      <c r="L31" s="37">
        <f>IF(L10="","",IF(L10=Partidos!$C10,1,0))</f>
        <v>1</v>
      </c>
      <c r="M31" s="37">
        <f>IF(M10="","",IF(M10=Partidos!$C10,1,0))</f>
        <v>1</v>
      </c>
      <c r="N31" s="37">
        <f>IF(N10="","",IF(N10=Partidos!$C10,1,0))</f>
        <v>1</v>
      </c>
      <c r="O31" s="37">
        <f>IF(O10="","",IF(O10=Partidos!$C10,1,0))</f>
        <v>1</v>
      </c>
      <c r="P31" s="37">
        <f>IF(P10="","",IF(P10=Partidos!$C10,1,0))</f>
        <v>0</v>
      </c>
      <c r="Q31" s="37">
        <f>IF(Q10="","",IF(Q10=Partidos!$C10,1,0))</f>
        <v>0</v>
      </c>
      <c r="R31" s="37">
        <f>IF(R10="","",IF(R10=Partidos!$C10,1,0))</f>
        <v>1</v>
      </c>
      <c r="S31" s="37">
        <f>IF(S10="","",IF(S10=Partidos!$C10,1,0))</f>
        <v>1</v>
      </c>
      <c r="T31" s="37">
        <f>IF(T10="","",IF(T10=Partidos!$C10,1,0))</f>
        <v>1</v>
      </c>
      <c r="U31" s="37">
        <f>IF(U10="","",IF(U10=Partidos!$C10,1,0))</f>
        <v>1</v>
      </c>
      <c r="V31" s="37" t="str">
        <f>IF(V10="","",IF(V10=Partidos!$C10,1,0))</f>
        <v/>
      </c>
      <c r="W31" s="34"/>
      <c r="X31" s="34"/>
      <c r="Y31" s="34"/>
      <c r="Z31" s="34"/>
    </row>
    <row r="32" spans="1:26" ht="12.5" hidden="1">
      <c r="A32" s="34"/>
      <c r="B32" s="37">
        <f>IF(B11="","",IF(B11=Partidos!$C11,1,0))</f>
        <v>1</v>
      </c>
      <c r="C32" s="37">
        <f>IF(C11="","",IF(C11=Partidos!$C11,1,0))</f>
        <v>1</v>
      </c>
      <c r="D32" s="37">
        <f>IF(D11="","",IF(D11=Partidos!$C11,1,0))</f>
        <v>0</v>
      </c>
      <c r="E32" s="37">
        <f>IF(E11="","",IF(E11=Partidos!$C11,1,0))</f>
        <v>1</v>
      </c>
      <c r="F32" s="37">
        <f>IF(F11="","",IF(F11=Partidos!$C11,1,0))</f>
        <v>0</v>
      </c>
      <c r="G32" s="37">
        <f>IF(G11="","",IF(G11=Partidos!$C11,1,0))</f>
        <v>1</v>
      </c>
      <c r="H32" s="37">
        <f>IF(H11="","",IF(H11=Partidos!$C11,1,0))</f>
        <v>1</v>
      </c>
      <c r="I32" s="37">
        <f>IF(I11="","",IF(I11=Partidos!$C11,1,0))</f>
        <v>0</v>
      </c>
      <c r="J32" s="37">
        <f>IF(J11="","",IF(J11=Partidos!$C11,1,0))</f>
        <v>1</v>
      </c>
      <c r="K32" s="37">
        <f>IF(K11="","",IF(K11=Partidos!$C11,1,0))</f>
        <v>0</v>
      </c>
      <c r="L32" s="37">
        <f>IF(L11="","",IF(L11=Partidos!$C11,1,0))</f>
        <v>0</v>
      </c>
      <c r="M32" s="37">
        <f>IF(M11="","",IF(M11=Partidos!$C11,1,0))</f>
        <v>0</v>
      </c>
      <c r="N32" s="37">
        <f>IF(N11="","",IF(N11=Partidos!$C11,1,0))</f>
        <v>0</v>
      </c>
      <c r="O32" s="37">
        <f>IF(O11="","",IF(O11=Partidos!$C11,1,0))</f>
        <v>1</v>
      </c>
      <c r="P32" s="37">
        <f>IF(P11="","",IF(P11=Partidos!$C11,1,0))</f>
        <v>0</v>
      </c>
      <c r="Q32" s="37">
        <f>IF(Q11="","",IF(Q11=Partidos!$C11,1,0))</f>
        <v>0</v>
      </c>
      <c r="R32" s="37">
        <f>IF(R11="","",IF(R11=Partidos!$C11,1,0))</f>
        <v>0</v>
      </c>
      <c r="S32" s="37">
        <f>IF(S11="","",IF(S11=Partidos!$C11,1,0))</f>
        <v>1</v>
      </c>
      <c r="T32" s="37">
        <f>IF(T11="","",IF(T11=Partidos!$C11,1,0))</f>
        <v>0</v>
      </c>
      <c r="U32" s="37">
        <f>IF(U11="","",IF(U11=Partidos!$C11,1,0))</f>
        <v>1</v>
      </c>
      <c r="V32" s="37">
        <f>IF(V11="","",IF(V11=Partidos!$C11,1,0))</f>
        <v>0</v>
      </c>
      <c r="W32" s="34"/>
      <c r="X32" s="34"/>
      <c r="Y32" s="34"/>
      <c r="Z32" s="34"/>
    </row>
    <row r="33" spans="1:26" ht="12.5" hidden="1">
      <c r="A33" s="34"/>
      <c r="B33" s="41">
        <f>IF(B12="","",IF(B12=Partidos!$C12,1,0))</f>
        <v>0</v>
      </c>
      <c r="C33" s="41">
        <f>IF(C12="","",IF(C12=Partidos!$C12,1,0))</f>
        <v>0</v>
      </c>
      <c r="D33" s="41">
        <f>IF(D12="","",IF(D12=Partidos!$C12,1,0))</f>
        <v>0</v>
      </c>
      <c r="E33" s="41">
        <f>IF(E12="","",IF(E12=Partidos!$C12,1,0))</f>
        <v>0</v>
      </c>
      <c r="F33" s="41">
        <f>IF(F12="","",IF(F12=Partidos!$C12,1,0))</f>
        <v>0</v>
      </c>
      <c r="G33" s="41">
        <f>IF(G12="","",IF(G12=Partidos!$C12,1,0))</f>
        <v>0</v>
      </c>
      <c r="H33" s="41">
        <f>IF(H12="","",IF(H12=Partidos!$C12,1,0))</f>
        <v>0</v>
      </c>
      <c r="I33" s="41">
        <f>IF(I12="","",IF(I12=Partidos!$C12,1,0))</f>
        <v>0</v>
      </c>
      <c r="J33" s="41">
        <f>IF(J12="","",IF(J12=Partidos!$C12,1,0))</f>
        <v>0</v>
      </c>
      <c r="K33" s="41">
        <f>IF(K12="","",IF(K12=Partidos!$C12,1,0))</f>
        <v>0</v>
      </c>
      <c r="L33" s="41">
        <f>IF(L12="","",IF(L12=Partidos!$C12,1,0))</f>
        <v>0</v>
      </c>
      <c r="M33" s="41">
        <f>IF(M12="","",IF(M12=Partidos!$C12,1,0))</f>
        <v>1</v>
      </c>
      <c r="N33" s="41">
        <f>IF(N12="","",IF(N12=Partidos!$C12,1,0))</f>
        <v>0</v>
      </c>
      <c r="O33" s="41">
        <f>IF(O12="","",IF(O12=Partidos!$C12,1,0))</f>
        <v>1</v>
      </c>
      <c r="P33" s="41">
        <f>IF(P12="","",IF(P12=Partidos!$C12,1,0))</f>
        <v>0</v>
      </c>
      <c r="Q33" s="41">
        <f>IF(Q12="","",IF(Q12=Partidos!$C12,1,0))</f>
        <v>0</v>
      </c>
      <c r="R33" s="41">
        <f>IF(R12="","",IF(R12=Partidos!$C12,1,0))</f>
        <v>0</v>
      </c>
      <c r="S33" s="41">
        <f>IF(S12="","",IF(S12=Partidos!$C12,1,0))</f>
        <v>0</v>
      </c>
      <c r="T33" s="41">
        <f>IF(T12="","",IF(T12=Partidos!$C12,1,0))</f>
        <v>0</v>
      </c>
      <c r="U33" s="41">
        <f>IF(U12="","",IF(U12=Partidos!$C12,1,0))</f>
        <v>0</v>
      </c>
      <c r="V33" s="41" t="str">
        <f>IF(V12="","",IF(V12=Partidos!$C12,1,0))</f>
        <v/>
      </c>
      <c r="W33" s="34"/>
      <c r="X33" s="34"/>
      <c r="Y33" s="34"/>
      <c r="Z33" s="34"/>
    </row>
    <row r="34" spans="1:26" ht="12.5" hidden="1">
      <c r="A34" s="34"/>
      <c r="B34" s="37">
        <f>IF(B13="","",IF(B13=Partidos!$C13,1,0))</f>
        <v>0</v>
      </c>
      <c r="C34" s="37">
        <f>IF(C13="","",IF(C13=Partidos!$C13,1,0))</f>
        <v>1</v>
      </c>
      <c r="D34" s="37">
        <f>IF(D13="","",IF(D13=Partidos!$C13,1,0))</f>
        <v>1</v>
      </c>
      <c r="E34" s="37">
        <f>IF(E13="","",IF(E13=Partidos!$C13,1,0))</f>
        <v>1</v>
      </c>
      <c r="F34" s="37">
        <f>IF(F13="","",IF(F13=Partidos!$C13,1,0))</f>
        <v>1</v>
      </c>
      <c r="G34" s="37">
        <f>IF(G13="","",IF(G13=Partidos!$C13,1,0))</f>
        <v>1</v>
      </c>
      <c r="H34" s="37">
        <f>IF(H13="","",IF(H13=Partidos!$C13,1,0))</f>
        <v>1</v>
      </c>
      <c r="I34" s="37">
        <f>IF(I13="","",IF(I13=Partidos!$C13,1,0))</f>
        <v>1</v>
      </c>
      <c r="J34" s="37">
        <f>IF(J13="","",IF(J13=Partidos!$C13,1,0))</f>
        <v>1</v>
      </c>
      <c r="K34" s="37">
        <f>IF(K13="","",IF(K13=Partidos!$C13,1,0))</f>
        <v>1</v>
      </c>
      <c r="L34" s="37">
        <f>IF(L13="","",IF(L13=Partidos!$C13,1,0))</f>
        <v>1</v>
      </c>
      <c r="M34" s="37">
        <f>IF(M13="","",IF(M13=Partidos!$C13,1,0))</f>
        <v>1</v>
      </c>
      <c r="N34" s="37">
        <f>IF(N13="","",IF(N13=Partidos!$C13,1,0))</f>
        <v>0</v>
      </c>
      <c r="O34" s="37">
        <f>IF(O13="","",IF(O13=Partidos!$C13,1,0))</f>
        <v>1</v>
      </c>
      <c r="P34" s="37">
        <f>IF(P13="","",IF(P13=Partidos!$C13,1,0))</f>
        <v>1</v>
      </c>
      <c r="Q34" s="37">
        <f>IF(Q13="","",IF(Q13=Partidos!$C13,1,0))</f>
        <v>0</v>
      </c>
      <c r="R34" s="37">
        <f>IF(R13="","",IF(R13=Partidos!$C13,1,0))</f>
        <v>1</v>
      </c>
      <c r="S34" s="37">
        <f>IF(S13="","",IF(S13=Partidos!$C13,1,0))</f>
        <v>1</v>
      </c>
      <c r="T34" s="37">
        <f>IF(T13="","",IF(T13=Partidos!$C13,1,0))</f>
        <v>1</v>
      </c>
      <c r="U34" s="37">
        <f>IF(U13="","",IF(U13=Partidos!$C13,1,0))</f>
        <v>1</v>
      </c>
      <c r="V34" s="37" t="str">
        <f>IF(V13="","",IF(V13=Partidos!$C13,1,0))</f>
        <v/>
      </c>
      <c r="W34" s="34"/>
      <c r="X34" s="34"/>
      <c r="Y34" s="34"/>
      <c r="Z34" s="34"/>
    </row>
    <row r="35" spans="1:26" ht="12.5" hidden="1">
      <c r="A35" s="34"/>
      <c r="B35" s="37">
        <f>IF(B14="","",IF(B14=Partidos!$C14,1,0))</f>
        <v>0</v>
      </c>
      <c r="C35" s="37">
        <f>IF(C14="","",IF(C14=Partidos!$C14,1,0))</f>
        <v>1</v>
      </c>
      <c r="D35" s="37">
        <f>IF(D14="","",IF(D14=Partidos!$C14,1,0))</f>
        <v>1</v>
      </c>
      <c r="E35" s="37">
        <f>IF(E14="","",IF(E14=Partidos!$C14,1,0))</f>
        <v>0</v>
      </c>
      <c r="F35" s="37">
        <f>IF(F14="","",IF(F14=Partidos!$C14,1,0))</f>
        <v>0</v>
      </c>
      <c r="G35" s="37">
        <f>IF(G14="","",IF(G14=Partidos!$C14,1,0))</f>
        <v>1</v>
      </c>
      <c r="H35" s="37">
        <f>IF(H14="","",IF(H14=Partidos!$C14,1,0))</f>
        <v>0</v>
      </c>
      <c r="I35" s="37">
        <f>IF(I14="","",IF(I14=Partidos!$C14,1,0))</f>
        <v>1</v>
      </c>
      <c r="J35" s="37">
        <f>IF(J14="","",IF(J14=Partidos!$C14,1,0))</f>
        <v>0</v>
      </c>
      <c r="K35" s="37">
        <f>IF(K14="","",IF(K14=Partidos!$C14,1,0))</f>
        <v>1</v>
      </c>
      <c r="L35" s="37">
        <f>IF(L14="","",IF(L14=Partidos!$C14,1,0))</f>
        <v>0</v>
      </c>
      <c r="M35" s="37">
        <f>IF(M14="","",IF(M14=Partidos!$C14,1,0))</f>
        <v>0</v>
      </c>
      <c r="N35" s="37">
        <f>IF(N14="","",IF(N14=Partidos!$C14,1,0))</f>
        <v>1</v>
      </c>
      <c r="O35" s="37">
        <f>IF(O14="","",IF(O14=Partidos!$C14,1,0))</f>
        <v>0</v>
      </c>
      <c r="P35" s="37">
        <f>IF(P14="","",IF(P14=Partidos!$C14,1,0))</f>
        <v>0</v>
      </c>
      <c r="Q35" s="37">
        <f>IF(Q14="","",IF(Q14=Partidos!$C14,1,0))</f>
        <v>0</v>
      </c>
      <c r="R35" s="37">
        <f>IF(R14="","",IF(R14=Partidos!$C14,1,0))</f>
        <v>1</v>
      </c>
      <c r="S35" s="37">
        <f>IF(S14="","",IF(S14=Partidos!$C14,1,0))</f>
        <v>0</v>
      </c>
      <c r="T35" s="37">
        <f>IF(T14="","",IF(T14=Partidos!$C14,1,0))</f>
        <v>0</v>
      </c>
      <c r="U35" s="37">
        <f>IF(U14="","",IF(U14=Partidos!$C14,1,0))</f>
        <v>1</v>
      </c>
      <c r="V35" s="37">
        <f>IF(V14="","",IF(V14=Partidos!$C14,1,0))</f>
        <v>0</v>
      </c>
      <c r="W35" s="34"/>
      <c r="X35" s="34"/>
      <c r="Y35" s="34"/>
      <c r="Z35" s="34"/>
    </row>
    <row r="36" spans="1:26" ht="12.5" hidden="1">
      <c r="A36" s="34"/>
      <c r="B36" s="41">
        <f>IF(B15="","",IF(B15=Partidos!$C15,1,0))</f>
        <v>0</v>
      </c>
      <c r="C36" s="41">
        <f>IF(C15="","",IF(C15=Partidos!$C15,1,0))</f>
        <v>0</v>
      </c>
      <c r="D36" s="41">
        <f>IF(D15="","",IF(D15=Partidos!$C15,1,0))</f>
        <v>0</v>
      </c>
      <c r="E36" s="41">
        <f>IF(E15="","",IF(E15=Partidos!$C15,1,0))</f>
        <v>0</v>
      </c>
      <c r="F36" s="41">
        <f>IF(F15="","",IF(F15=Partidos!$C15,1,0))</f>
        <v>0</v>
      </c>
      <c r="G36" s="41">
        <f>IF(G15="","",IF(G15=Partidos!$C15,1,0))</f>
        <v>0</v>
      </c>
      <c r="H36" s="41">
        <f>IF(H15="","",IF(H15=Partidos!$C15,1,0))</f>
        <v>0</v>
      </c>
      <c r="I36" s="41">
        <f>IF(I15="","",IF(I15=Partidos!$C15,1,0))</f>
        <v>0</v>
      </c>
      <c r="J36" s="41">
        <f>IF(J15="","",IF(J15=Partidos!$C15,1,0))</f>
        <v>0</v>
      </c>
      <c r="K36" s="41">
        <f>IF(K15="","",IF(K15=Partidos!$C15,1,0))</f>
        <v>1</v>
      </c>
      <c r="L36" s="41">
        <f>IF(L15="","",IF(L15=Partidos!$C15,1,0))</f>
        <v>0</v>
      </c>
      <c r="M36" s="41">
        <f>IF(M15="","",IF(M15=Partidos!$C15,1,0))</f>
        <v>0</v>
      </c>
      <c r="N36" s="41">
        <f>IF(N15="","",IF(N15=Partidos!$C15,1,0))</f>
        <v>0</v>
      </c>
      <c r="O36" s="41">
        <f>IF(O15="","",IF(O15=Partidos!$C15,1,0))</f>
        <v>1</v>
      </c>
      <c r="P36" s="41">
        <f>IF(P15="","",IF(P15=Partidos!$C15,1,0))</f>
        <v>0</v>
      </c>
      <c r="Q36" s="41">
        <f>IF(Q15="","",IF(Q15=Partidos!$C15,1,0))</f>
        <v>0</v>
      </c>
      <c r="R36" s="41">
        <f>IF(R15="","",IF(R15=Partidos!$C15,1,0))</f>
        <v>0</v>
      </c>
      <c r="S36" s="41">
        <f>IF(S15="","",IF(S15=Partidos!$C15,1,0))</f>
        <v>0</v>
      </c>
      <c r="T36" s="41">
        <f>IF(T15="","",IF(T15=Partidos!$C15,1,0))</f>
        <v>0</v>
      </c>
      <c r="U36" s="41">
        <f>IF(U15="","",IF(U15=Partidos!$C15,1,0))</f>
        <v>0</v>
      </c>
      <c r="V36" s="41" t="str">
        <f>IF(V15="","",IF(V15=Partidos!$C15,1,0))</f>
        <v/>
      </c>
      <c r="W36" s="34"/>
      <c r="X36" s="34"/>
      <c r="Y36" s="34"/>
      <c r="Z36" s="34"/>
    </row>
    <row r="37" spans="1:26" ht="12.5" hidden="1">
      <c r="A37" s="34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2.5" hidden="1">
      <c r="A38" s="34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2.5" hidden="1">
      <c r="A39" s="34"/>
      <c r="B39" s="34"/>
      <c r="C39" s="34"/>
      <c r="D39" s="37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7"/>
      <c r="U39" s="37"/>
      <c r="V39" s="37"/>
      <c r="W39" s="37"/>
      <c r="X39" s="37"/>
      <c r="Y39" s="37"/>
      <c r="Z39" s="37"/>
    </row>
    <row r="40" spans="1:26" ht="12.5" hidden="1">
      <c r="A40" s="34"/>
      <c r="B40" s="34"/>
      <c r="C40" s="34"/>
      <c r="D40" s="37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7"/>
      <c r="U40" s="37"/>
      <c r="V40" s="37"/>
      <c r="W40" s="37"/>
      <c r="X40" s="37"/>
      <c r="Y40" s="37"/>
      <c r="Z40" s="37"/>
    </row>
    <row r="41" spans="1:26" ht="12.5" hidden="1">
      <c r="A41" s="34"/>
      <c r="B41" s="34"/>
      <c r="C41" s="34"/>
      <c r="D41" s="37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7"/>
      <c r="U41" s="37"/>
      <c r="V41" s="37"/>
      <c r="W41" s="37"/>
      <c r="X41" s="37"/>
      <c r="Y41" s="37"/>
      <c r="Z41" s="37"/>
    </row>
    <row r="42" spans="1:26" ht="12.5" hidden="1">
      <c r="A42" s="34"/>
      <c r="B42" s="34"/>
      <c r="C42" s="34"/>
      <c r="D42" s="37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7"/>
      <c r="U42" s="37"/>
      <c r="V42" s="37"/>
      <c r="W42" s="37"/>
      <c r="X42" s="37"/>
      <c r="Y42" s="37"/>
      <c r="Z42" s="37"/>
    </row>
    <row r="43" spans="1:26" ht="12.5" hidden="1">
      <c r="A43" s="34"/>
      <c r="B43" s="34"/>
      <c r="C43" s="34"/>
      <c r="D43" s="37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7"/>
      <c r="U43" s="37"/>
      <c r="V43" s="37"/>
      <c r="W43" s="37"/>
      <c r="X43" s="37"/>
      <c r="Y43" s="37"/>
      <c r="Z43" s="37"/>
    </row>
    <row r="44" spans="1:26" ht="12.5" hidden="1">
      <c r="A44" s="34"/>
      <c r="B44" s="34"/>
      <c r="C44" s="34"/>
      <c r="D44" s="37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7"/>
      <c r="U44" s="37"/>
      <c r="V44" s="37"/>
      <c r="W44" s="37"/>
      <c r="X44" s="37"/>
      <c r="Y44" s="37"/>
      <c r="Z44" s="37"/>
    </row>
    <row r="45" spans="1:26" ht="12.5" hidden="1">
      <c r="A45" s="34"/>
      <c r="B45" s="34"/>
      <c r="C45" s="34"/>
      <c r="D45" s="37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7"/>
      <c r="U45" s="37"/>
      <c r="V45" s="37"/>
      <c r="W45" s="37"/>
      <c r="X45" s="37"/>
      <c r="Y45" s="37"/>
      <c r="Z45" s="37"/>
    </row>
    <row r="46" spans="1:26" ht="12.5" hidden="1">
      <c r="A46" s="34"/>
      <c r="B46" s="34"/>
      <c r="C46" s="34"/>
      <c r="D46" s="37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7"/>
      <c r="U46" s="37"/>
      <c r="V46" s="37"/>
      <c r="W46" s="37"/>
      <c r="X46" s="37"/>
      <c r="Y46" s="37"/>
      <c r="Z46" s="37"/>
    </row>
    <row r="47" spans="1:26" ht="12.5" hidden="1">
      <c r="A47" s="34"/>
      <c r="B47" s="34"/>
      <c r="C47" s="34"/>
      <c r="D47" s="37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7"/>
      <c r="U47" s="37"/>
      <c r="V47" s="37"/>
      <c r="W47" s="37"/>
      <c r="X47" s="37"/>
      <c r="Y47" s="37"/>
      <c r="Z47" s="37"/>
    </row>
    <row r="48" spans="1:26" ht="12.5" hidden="1">
      <c r="A48" s="34"/>
      <c r="B48" s="34"/>
      <c r="C48" s="34"/>
      <c r="D48" s="37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7"/>
      <c r="U48" s="37"/>
      <c r="V48" s="37"/>
      <c r="W48" s="37"/>
      <c r="X48" s="37"/>
      <c r="Y48" s="37"/>
      <c r="Z48" s="37"/>
    </row>
    <row r="49" spans="1:26" ht="12.5" hidden="1">
      <c r="A49" s="34"/>
      <c r="B49" s="34"/>
      <c r="C49" s="34"/>
      <c r="D49" s="37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7"/>
      <c r="U49" s="37"/>
      <c r="V49" s="37"/>
      <c r="W49" s="37"/>
      <c r="X49" s="37"/>
      <c r="Y49" s="37"/>
      <c r="Z49" s="37"/>
    </row>
    <row r="50" spans="1:26" ht="12.5" hidden="1">
      <c r="A50" s="34"/>
      <c r="B50" s="34"/>
      <c r="C50" s="34"/>
      <c r="D50" s="37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7"/>
      <c r="U50" s="37"/>
      <c r="V50" s="37"/>
      <c r="W50" s="37"/>
      <c r="X50" s="37"/>
      <c r="Y50" s="37"/>
      <c r="Z50" s="37"/>
    </row>
    <row r="51" spans="1:26" ht="12.5" hidden="1">
      <c r="A51" s="34"/>
      <c r="B51" s="34"/>
      <c r="C51" s="34"/>
      <c r="D51" s="37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7"/>
      <c r="U51" s="37"/>
      <c r="V51" s="37"/>
      <c r="W51" s="37"/>
      <c r="X51" s="37"/>
      <c r="Y51" s="37"/>
      <c r="Z51" s="37"/>
    </row>
    <row r="52" spans="1:26" ht="12.5" hidden="1">
      <c r="A52" s="34"/>
      <c r="B52" s="34"/>
      <c r="C52" s="34"/>
      <c r="D52" s="37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7"/>
      <c r="U52" s="37"/>
      <c r="V52" s="37"/>
      <c r="W52" s="37"/>
      <c r="X52" s="37"/>
      <c r="Y52" s="37"/>
      <c r="Z52" s="37"/>
    </row>
    <row r="53" spans="1:26" ht="12.5" hidden="1">
      <c r="A53" s="34"/>
      <c r="B53" s="34"/>
      <c r="C53" s="34"/>
      <c r="D53" s="37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7"/>
      <c r="U53" s="37"/>
      <c r="V53" s="37"/>
      <c r="W53" s="37"/>
      <c r="X53" s="37"/>
      <c r="Y53" s="37"/>
      <c r="Z53" s="37"/>
    </row>
    <row r="54" spans="1:26" ht="12.5" hidden="1">
      <c r="A54" s="34"/>
      <c r="B54" s="34"/>
      <c r="C54" s="34"/>
      <c r="D54" s="37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7"/>
      <c r="U54" s="37"/>
      <c r="V54" s="37"/>
      <c r="W54" s="37"/>
      <c r="X54" s="37"/>
      <c r="Y54" s="37"/>
      <c r="Z54" s="37"/>
    </row>
    <row r="55" spans="1:26" ht="12.5" hidden="1">
      <c r="A55" s="34"/>
      <c r="B55" s="34"/>
      <c r="C55" s="34"/>
      <c r="D55" s="37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7"/>
      <c r="U55" s="37"/>
      <c r="V55" s="37"/>
      <c r="W55" s="37"/>
      <c r="X55" s="37"/>
      <c r="Y55" s="37"/>
      <c r="Z55" s="37"/>
    </row>
    <row r="56" spans="1:26" ht="12.5" hidden="1">
      <c r="A56" s="34"/>
      <c r="B56" s="34"/>
      <c r="C56" s="34"/>
      <c r="D56" s="37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7"/>
      <c r="U56" s="37"/>
      <c r="V56" s="37"/>
      <c r="W56" s="37"/>
      <c r="X56" s="37"/>
      <c r="Y56" s="37"/>
      <c r="Z56" s="37"/>
    </row>
    <row r="57" spans="1:26" ht="12.5" hidden="1">
      <c r="A57" s="34"/>
      <c r="B57" s="34"/>
      <c r="C57" s="34"/>
      <c r="D57" s="37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7"/>
      <c r="U57" s="37"/>
      <c r="V57" s="37"/>
      <c r="W57" s="37"/>
      <c r="X57" s="37"/>
      <c r="Y57" s="37"/>
      <c r="Z57" s="37"/>
    </row>
    <row r="58" spans="1:26" ht="12.5" hidden="1">
      <c r="A58" s="34"/>
      <c r="B58" s="34"/>
      <c r="C58" s="34"/>
      <c r="D58" s="37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7"/>
      <c r="U58" s="37"/>
      <c r="V58" s="37"/>
      <c r="W58" s="37"/>
      <c r="X58" s="37"/>
      <c r="Y58" s="37"/>
      <c r="Z58" s="37"/>
    </row>
    <row r="59" spans="1:26" ht="12.5" hidden="1">
      <c r="A59" s="34"/>
      <c r="B59" s="34"/>
      <c r="C59" s="34"/>
      <c r="D59" s="37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7"/>
      <c r="U59" s="37"/>
      <c r="V59" s="37"/>
      <c r="W59" s="37"/>
      <c r="X59" s="37"/>
      <c r="Y59" s="37"/>
      <c r="Z59" s="37"/>
    </row>
    <row r="60" spans="1:26" ht="12.5" hidden="1">
      <c r="A60" s="34"/>
      <c r="B60" s="34"/>
      <c r="C60" s="34"/>
      <c r="D60" s="37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7"/>
      <c r="U60" s="37"/>
      <c r="V60" s="37"/>
      <c r="W60" s="37"/>
      <c r="X60" s="37"/>
      <c r="Y60" s="37"/>
      <c r="Z60" s="37"/>
    </row>
    <row r="61" spans="1:26" ht="12.5" hidden="1">
      <c r="A61" s="34"/>
      <c r="B61" s="34"/>
      <c r="C61" s="34"/>
      <c r="D61" s="37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7"/>
      <c r="U61" s="37"/>
      <c r="V61" s="37"/>
      <c r="W61" s="37"/>
      <c r="X61" s="37"/>
      <c r="Y61" s="37"/>
      <c r="Z61" s="37"/>
    </row>
    <row r="62" spans="1:26" ht="12.5" hidden="1">
      <c r="A62" s="34"/>
      <c r="B62" s="34"/>
      <c r="C62" s="34"/>
      <c r="D62" s="37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7"/>
      <c r="U62" s="37"/>
      <c r="V62" s="37"/>
      <c r="W62" s="37"/>
      <c r="X62" s="37"/>
      <c r="Y62" s="37"/>
      <c r="Z62" s="37"/>
    </row>
    <row r="63" spans="1:26" ht="12.5" hidden="1">
      <c r="A63" s="34"/>
      <c r="B63" s="34"/>
      <c r="C63" s="34"/>
      <c r="D63" s="37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7"/>
      <c r="U63" s="37"/>
      <c r="V63" s="37"/>
      <c r="W63" s="37"/>
      <c r="X63" s="37"/>
      <c r="Y63" s="37"/>
      <c r="Z63" s="37"/>
    </row>
    <row r="64" spans="1:26" ht="12.5" hidden="1">
      <c r="A64" s="34"/>
      <c r="B64" s="34"/>
      <c r="C64" s="34"/>
      <c r="D64" s="37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7"/>
      <c r="U64" s="37"/>
      <c r="V64" s="37"/>
      <c r="W64" s="37"/>
      <c r="X64" s="37"/>
      <c r="Y64" s="37"/>
      <c r="Z64" s="37"/>
    </row>
    <row r="65" spans="1:26" ht="12.5" hidden="1">
      <c r="A65" s="34"/>
      <c r="B65" s="34"/>
      <c r="C65" s="34"/>
      <c r="D65" s="37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7"/>
      <c r="U65" s="37"/>
      <c r="V65" s="37"/>
      <c r="W65" s="37"/>
      <c r="X65" s="37"/>
      <c r="Y65" s="37"/>
      <c r="Z65" s="37"/>
    </row>
    <row r="66" spans="1:26" ht="12.5" hidden="1">
      <c r="A66" s="34"/>
      <c r="B66" s="34"/>
      <c r="C66" s="34"/>
      <c r="D66" s="37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7"/>
      <c r="U66" s="37"/>
      <c r="V66" s="37"/>
      <c r="W66" s="37"/>
      <c r="X66" s="37"/>
      <c r="Y66" s="37"/>
      <c r="Z66" s="37"/>
    </row>
    <row r="67" spans="1:26" ht="12.5" hidden="1">
      <c r="A67" s="34"/>
      <c r="B67" s="34"/>
      <c r="C67" s="34"/>
      <c r="D67" s="37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7"/>
      <c r="U67" s="37"/>
      <c r="V67" s="37"/>
      <c r="W67" s="37"/>
      <c r="X67" s="37"/>
      <c r="Y67" s="37"/>
      <c r="Z67" s="37"/>
    </row>
    <row r="68" spans="1:26" ht="12.5" hidden="1">
      <c r="A68" s="34"/>
      <c r="B68" s="34"/>
      <c r="C68" s="34"/>
      <c r="D68" s="37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7"/>
      <c r="U68" s="37"/>
      <c r="V68" s="37"/>
      <c r="W68" s="37"/>
      <c r="X68" s="37"/>
      <c r="Y68" s="37"/>
      <c r="Z68" s="37"/>
    </row>
    <row r="69" spans="1:26" ht="12.5" hidden="1">
      <c r="A69" s="34"/>
      <c r="B69" s="34"/>
      <c r="C69" s="34"/>
      <c r="D69" s="37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7"/>
      <c r="U69" s="37"/>
      <c r="V69" s="37"/>
      <c r="W69" s="37"/>
      <c r="X69" s="37"/>
      <c r="Y69" s="37"/>
      <c r="Z69" s="37"/>
    </row>
    <row r="70" spans="1:26" ht="12.5" hidden="1">
      <c r="A70" s="34"/>
      <c r="B70" s="34"/>
      <c r="C70" s="34"/>
      <c r="D70" s="37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7"/>
      <c r="U70" s="37"/>
      <c r="V70" s="37"/>
      <c r="W70" s="37"/>
      <c r="X70" s="37"/>
      <c r="Y70" s="37"/>
      <c r="Z70" s="37"/>
    </row>
    <row r="71" spans="1:26" ht="12.5" hidden="1">
      <c r="A71" s="34"/>
      <c r="B71" s="34"/>
      <c r="C71" s="34"/>
      <c r="D71" s="37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7"/>
      <c r="U71" s="37"/>
      <c r="V71" s="37"/>
      <c r="W71" s="37"/>
      <c r="X71" s="37"/>
      <c r="Y71" s="37"/>
      <c r="Z71" s="37"/>
    </row>
    <row r="72" spans="1:26" ht="12.5" hidden="1">
      <c r="A72" s="34"/>
      <c r="B72" s="34"/>
      <c r="C72" s="34"/>
      <c r="D72" s="37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7"/>
      <c r="U72" s="37"/>
      <c r="V72" s="37"/>
      <c r="W72" s="37"/>
      <c r="X72" s="37"/>
      <c r="Y72" s="37"/>
      <c r="Z72" s="37"/>
    </row>
    <row r="73" spans="1:26" ht="12.5" hidden="1">
      <c r="A73" s="34"/>
      <c r="B73" s="34"/>
      <c r="C73" s="34"/>
      <c r="D73" s="37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7"/>
      <c r="U73" s="37"/>
      <c r="V73" s="37"/>
      <c r="W73" s="37"/>
      <c r="X73" s="37"/>
      <c r="Y73" s="37"/>
      <c r="Z73" s="37"/>
    </row>
    <row r="74" spans="1:26" ht="12.5" hidden="1">
      <c r="A74" s="34"/>
      <c r="B74" s="34"/>
      <c r="C74" s="34"/>
      <c r="D74" s="37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7"/>
      <c r="U74" s="37"/>
      <c r="V74" s="37"/>
      <c r="W74" s="37"/>
      <c r="X74" s="37"/>
      <c r="Y74" s="37"/>
      <c r="Z74" s="37"/>
    </row>
    <row r="75" spans="1:26" ht="12.5" hidden="1">
      <c r="A75" s="34"/>
      <c r="B75" s="34"/>
      <c r="C75" s="34"/>
      <c r="D75" s="37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7"/>
      <c r="U75" s="37"/>
      <c r="V75" s="37"/>
      <c r="W75" s="37"/>
      <c r="X75" s="37"/>
      <c r="Y75" s="37"/>
      <c r="Z75" s="37"/>
    </row>
    <row r="76" spans="1:26" ht="12.5" hidden="1">
      <c r="A76" s="34"/>
      <c r="B76" s="34"/>
      <c r="C76" s="34"/>
      <c r="D76" s="37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7"/>
      <c r="U76" s="37"/>
      <c r="V76" s="37"/>
      <c r="W76" s="37"/>
      <c r="X76" s="37"/>
      <c r="Y76" s="37"/>
      <c r="Z76" s="37"/>
    </row>
    <row r="77" spans="1:26" ht="12.5" hidden="1">
      <c r="A77" s="34"/>
      <c r="B77" s="34"/>
      <c r="C77" s="34"/>
      <c r="D77" s="37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7"/>
      <c r="U77" s="37"/>
      <c r="V77" s="37"/>
      <c r="W77" s="37"/>
      <c r="X77" s="37"/>
      <c r="Y77" s="37"/>
      <c r="Z77" s="37"/>
    </row>
    <row r="78" spans="1:26" ht="12.5" hidden="1">
      <c r="A78" s="34"/>
      <c r="B78" s="34"/>
      <c r="C78" s="34"/>
      <c r="D78" s="37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7"/>
      <c r="U78" s="37"/>
      <c r="V78" s="37"/>
      <c r="W78" s="37"/>
      <c r="X78" s="37"/>
      <c r="Y78" s="37"/>
      <c r="Z78" s="37"/>
    </row>
    <row r="79" spans="1:26" ht="12.5" hidden="1">
      <c r="A79" s="34"/>
      <c r="B79" s="34"/>
      <c r="C79" s="34"/>
      <c r="D79" s="37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7"/>
      <c r="U79" s="37"/>
      <c r="V79" s="37"/>
      <c r="W79" s="37"/>
      <c r="X79" s="37"/>
      <c r="Y79" s="37"/>
      <c r="Z79" s="37"/>
    </row>
    <row r="80" spans="1:26" ht="12.5" hidden="1">
      <c r="A80" s="34"/>
      <c r="B80" s="34"/>
      <c r="C80" s="34"/>
      <c r="D80" s="37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7"/>
      <c r="U80" s="37"/>
      <c r="V80" s="37"/>
      <c r="W80" s="37"/>
      <c r="X80" s="37"/>
      <c r="Y80" s="37"/>
      <c r="Z80" s="37"/>
    </row>
    <row r="81" spans="1:26" ht="12.5" hidden="1">
      <c r="A81" s="34"/>
      <c r="B81" s="34"/>
      <c r="C81" s="34"/>
      <c r="D81" s="37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7"/>
      <c r="U81" s="37"/>
      <c r="V81" s="37"/>
      <c r="W81" s="37"/>
      <c r="X81" s="37"/>
      <c r="Y81" s="37"/>
      <c r="Z81" s="37"/>
    </row>
    <row r="82" spans="1:26" ht="12.5" hidden="1">
      <c r="A82" s="34"/>
      <c r="B82" s="34"/>
      <c r="C82" s="34"/>
      <c r="D82" s="37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7"/>
      <c r="U82" s="37"/>
      <c r="V82" s="37"/>
      <c r="W82" s="37"/>
      <c r="X82" s="37"/>
      <c r="Y82" s="37"/>
      <c r="Z82" s="37"/>
    </row>
    <row r="83" spans="1:26" ht="12.5" hidden="1">
      <c r="A83" s="34"/>
      <c r="B83" s="34"/>
      <c r="C83" s="34"/>
      <c r="D83" s="37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7"/>
      <c r="U83" s="37"/>
      <c r="V83" s="37"/>
      <c r="W83" s="37"/>
      <c r="X83" s="37"/>
      <c r="Y83" s="37"/>
      <c r="Z83" s="37"/>
    </row>
    <row r="84" spans="1:26" ht="12.5" hidden="1">
      <c r="A84" s="34"/>
      <c r="B84" s="34"/>
      <c r="C84" s="34"/>
      <c r="D84" s="37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7"/>
      <c r="U84" s="37"/>
      <c r="V84" s="37"/>
      <c r="W84" s="37"/>
      <c r="X84" s="37"/>
      <c r="Y84" s="37"/>
      <c r="Z84" s="37"/>
    </row>
    <row r="85" spans="1:26" ht="12.5" hidden="1">
      <c r="A85" s="34"/>
      <c r="B85" s="34"/>
      <c r="C85" s="34"/>
      <c r="D85" s="37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7"/>
      <c r="U85" s="37"/>
      <c r="V85" s="37"/>
      <c r="W85" s="37"/>
      <c r="X85" s="37"/>
      <c r="Y85" s="37"/>
      <c r="Z85" s="37"/>
    </row>
    <row r="86" spans="1:26" ht="12.5" hidden="1">
      <c r="A86" s="34"/>
      <c r="B86" s="34"/>
      <c r="C86" s="34"/>
      <c r="D86" s="37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7"/>
      <c r="U86" s="37"/>
      <c r="V86" s="37"/>
      <c r="W86" s="37"/>
      <c r="X86" s="37"/>
      <c r="Y86" s="37"/>
      <c r="Z86" s="37"/>
    </row>
    <row r="87" spans="1:26" ht="12.5" hidden="1">
      <c r="A87" s="34"/>
      <c r="B87" s="34"/>
      <c r="C87" s="34"/>
      <c r="D87" s="37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7"/>
      <c r="U87" s="37"/>
      <c r="V87" s="37"/>
      <c r="W87" s="37"/>
      <c r="X87" s="37"/>
      <c r="Y87" s="37"/>
      <c r="Z87" s="37"/>
    </row>
    <row r="88" spans="1:26" ht="12.5" hidden="1">
      <c r="A88" s="34"/>
      <c r="B88" s="34"/>
      <c r="C88" s="34"/>
      <c r="D88" s="37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7"/>
      <c r="U88" s="37"/>
      <c r="V88" s="37"/>
      <c r="W88" s="37"/>
      <c r="X88" s="37"/>
      <c r="Y88" s="37"/>
      <c r="Z88" s="37"/>
    </row>
    <row r="89" spans="1:26" ht="12.5" hidden="1">
      <c r="A89" s="34"/>
      <c r="B89" s="34"/>
      <c r="C89" s="34"/>
      <c r="D89" s="37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7"/>
      <c r="U89" s="37"/>
      <c r="V89" s="37"/>
      <c r="W89" s="37"/>
      <c r="X89" s="37"/>
      <c r="Y89" s="37"/>
      <c r="Z89" s="37"/>
    </row>
    <row r="90" spans="1:26" ht="12.5" hidden="1">
      <c r="A90" s="34"/>
      <c r="B90" s="34"/>
      <c r="C90" s="34"/>
      <c r="D90" s="37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7"/>
      <c r="U90" s="37"/>
      <c r="V90" s="37"/>
      <c r="W90" s="37"/>
      <c r="X90" s="37"/>
      <c r="Y90" s="37"/>
      <c r="Z90" s="37"/>
    </row>
    <row r="91" spans="1:26" ht="12.5" hidden="1">
      <c r="A91" s="34"/>
      <c r="B91" s="34"/>
      <c r="C91" s="34"/>
      <c r="D91" s="37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7"/>
      <c r="U91" s="37"/>
      <c r="V91" s="37"/>
      <c r="W91" s="37"/>
      <c r="X91" s="37"/>
      <c r="Y91" s="37"/>
      <c r="Z91" s="37"/>
    </row>
    <row r="92" spans="1:26" ht="12.5" hidden="1">
      <c r="A92" s="34"/>
      <c r="B92" s="34"/>
      <c r="C92" s="34"/>
      <c r="D92" s="37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7"/>
      <c r="U92" s="37"/>
      <c r="V92" s="37"/>
      <c r="W92" s="37"/>
      <c r="X92" s="37"/>
      <c r="Y92" s="37"/>
      <c r="Z92" s="37"/>
    </row>
    <row r="93" spans="1:26" ht="12.5" hidden="1">
      <c r="A93" s="34"/>
      <c r="B93" s="34"/>
      <c r="C93" s="34"/>
      <c r="D93" s="37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7"/>
      <c r="U93" s="37"/>
      <c r="V93" s="37"/>
      <c r="W93" s="37"/>
      <c r="X93" s="37"/>
      <c r="Y93" s="37"/>
      <c r="Z93" s="37"/>
    </row>
    <row r="94" spans="1:26" ht="12.5" hidden="1">
      <c r="A94" s="34"/>
      <c r="B94" s="34"/>
      <c r="C94" s="34"/>
      <c r="D94" s="37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7"/>
      <c r="U94" s="37"/>
      <c r="V94" s="37"/>
      <c r="W94" s="37"/>
      <c r="X94" s="37"/>
      <c r="Y94" s="37"/>
      <c r="Z94" s="37"/>
    </row>
    <row r="95" spans="1:26" ht="12.5" hidden="1">
      <c r="A95" s="34"/>
      <c r="B95" s="34"/>
      <c r="C95" s="34"/>
      <c r="D95" s="37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7"/>
      <c r="U95" s="37"/>
      <c r="V95" s="37"/>
      <c r="W95" s="37"/>
      <c r="X95" s="37"/>
      <c r="Y95" s="37"/>
      <c r="Z95" s="37"/>
    </row>
    <row r="96" spans="1:26" ht="12.5" hidden="1">
      <c r="A96" s="34"/>
      <c r="B96" s="34"/>
      <c r="C96" s="34"/>
      <c r="D96" s="37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7"/>
      <c r="U96" s="37"/>
      <c r="V96" s="37"/>
      <c r="W96" s="37"/>
      <c r="X96" s="37"/>
      <c r="Y96" s="37"/>
      <c r="Z96" s="37"/>
    </row>
    <row r="97" spans="1:26" ht="12.5" hidden="1">
      <c r="A97" s="34"/>
      <c r="B97" s="34"/>
      <c r="C97" s="34"/>
      <c r="D97" s="37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7"/>
      <c r="U97" s="37"/>
      <c r="V97" s="37"/>
      <c r="W97" s="37"/>
      <c r="X97" s="37"/>
      <c r="Y97" s="37"/>
      <c r="Z97" s="37"/>
    </row>
    <row r="98" spans="1:26" ht="12.5" hidden="1">
      <c r="A98" s="34"/>
      <c r="B98" s="34"/>
      <c r="C98" s="34"/>
      <c r="D98" s="37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7"/>
      <c r="U98" s="37"/>
      <c r="V98" s="37"/>
      <c r="W98" s="37"/>
      <c r="X98" s="37"/>
      <c r="Y98" s="37"/>
      <c r="Z98" s="37"/>
    </row>
    <row r="99" spans="1:26" ht="12.5" hidden="1">
      <c r="A99" s="34"/>
      <c r="B99" s="34"/>
      <c r="C99" s="34"/>
      <c r="D99" s="37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7"/>
      <c r="U99" s="37"/>
      <c r="V99" s="37"/>
      <c r="W99" s="37"/>
      <c r="X99" s="37"/>
      <c r="Y99" s="37"/>
      <c r="Z99" s="37"/>
    </row>
    <row r="100" spans="1:26" ht="12.5" hidden="1">
      <c r="A100" s="34"/>
      <c r="B100" s="34"/>
      <c r="C100" s="34"/>
      <c r="D100" s="37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7"/>
      <c r="U100" s="37"/>
      <c r="V100" s="37"/>
      <c r="W100" s="37"/>
      <c r="X100" s="37"/>
      <c r="Y100" s="37"/>
      <c r="Z100" s="37"/>
    </row>
    <row r="101" spans="1:26" ht="12.5" hidden="1">
      <c r="A101" s="34"/>
      <c r="B101" s="34"/>
      <c r="C101" s="34"/>
      <c r="D101" s="37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7"/>
      <c r="U101" s="37"/>
      <c r="V101" s="37"/>
      <c r="W101" s="37"/>
      <c r="X101" s="37"/>
      <c r="Y101" s="37"/>
      <c r="Z101" s="37"/>
    </row>
  </sheetData>
  <mergeCells count="7">
    <mergeCell ref="B16:V16"/>
    <mergeCell ref="U18:V18"/>
    <mergeCell ref="W18:X18"/>
    <mergeCell ref="Y18:Z18"/>
    <mergeCell ref="U19:V20"/>
    <mergeCell ref="W19:X20"/>
    <mergeCell ref="Y19:Z20"/>
  </mergeCells>
  <conditionalFormatting sqref="B17:T17">
    <cfRule type="notContainsBlanks" dxfId="13" priority="13">
      <formula>LEN(TRIM(B17))&gt;0</formula>
    </cfRule>
  </conditionalFormatting>
  <conditionalFormatting sqref="B19:T19">
    <cfRule type="cellIs" dxfId="12" priority="2" operator="between">
      <formula>1</formula>
      <formula>3</formula>
    </cfRule>
    <cfRule type="cellIs" dxfId="11" priority="3" operator="between">
      <formula>4</formula>
      <formula>9</formula>
    </cfRule>
    <cfRule type="cellIs" dxfId="10" priority="5" operator="greaterThan">
      <formula>9</formula>
    </cfRule>
  </conditionalFormatting>
  <conditionalFormatting sqref="B20:T20">
    <cfRule type="expression" dxfId="9" priority="1">
      <formula>NOT(ISERROR(SEARCH((0.1),(B20))))</formula>
    </cfRule>
    <cfRule type="expression" dxfId="8" priority="4">
      <formula>NOT(ISERROR(SEARCH((0.2),(B20))))</formula>
    </cfRule>
    <cfRule type="expression" dxfId="7" priority="6">
      <formula>NOT(ISERROR(SEARCH((0.3),(B20))))</formula>
    </cfRule>
    <cfRule type="expression" dxfId="6" priority="7">
      <formula>NOT(ISERROR(SEARCH((0.4),(B20))))</formula>
    </cfRule>
    <cfRule type="expression" dxfId="5" priority="8">
      <formula>NOT(ISERROR(SEARCH((0.5),(B20))))</formula>
    </cfRule>
    <cfRule type="cellIs" dxfId="4" priority="12" operator="between">
      <formula>0</formula>
      <formula>9</formula>
    </cfRule>
  </conditionalFormatting>
  <conditionalFormatting sqref="U17:Z17">
    <cfRule type="notContainsBlanks" dxfId="3" priority="9">
      <formula>LEN(TRIM(U17))&gt;0</formula>
    </cfRule>
    <cfRule type="containsBlanks" dxfId="2" priority="14">
      <formula>LEN(TRIM(U17))=0</formula>
    </cfRule>
  </conditionalFormatting>
  <conditionalFormatting sqref="U19:Z20">
    <cfRule type="cellIs" dxfId="1" priority="10" operator="between">
      <formula>0</formula>
      <formula>9</formula>
    </cfRule>
    <cfRule type="cellIs" dxfId="0" priority="11" operator="greaterThan">
      <formula>9</formula>
    </cfRule>
  </conditionalFormatting>
  <dataValidations count="4">
    <dataValidation type="list" allowBlank="1" showDropDown="1" showErrorMessage="1" sqref="T17:U17 W17 Y17" xr:uid="{00000000-0002-0000-0000-000000000000}">
      <formula1>"0,1,2,M,m"</formula1>
    </dataValidation>
    <dataValidation type="list" allowBlank="1" showDropDown="1" showErrorMessage="1" sqref="V17 X17 Z17" xr:uid="{00000000-0002-0000-0000-000001000000}">
      <formula1>"0,1,2,m,M"</formula1>
    </dataValidation>
    <dataValidation type="list" allowBlank="1" showDropDown="1" showErrorMessage="1" sqref="T18:U18 W18 Y18" xr:uid="{00000000-0002-0000-0000-000002000000}">
      <formula1>"1,X,2"</formula1>
    </dataValidation>
    <dataValidation type="list" allowBlank="1" showDropDown="1" showErrorMessage="1" sqref="B2:Z15" xr:uid="{00000000-0002-0000-0000-000003000000}">
      <formula1>"1,X,2,x"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0"/>
  <sheetViews>
    <sheetView workbookViewId="0"/>
  </sheetViews>
  <sheetFormatPr baseColWidth="10" defaultColWidth="15.08984375" defaultRowHeight="15.75" customHeight="1"/>
  <cols>
    <col min="1" max="1" width="19.90625" customWidth="1"/>
    <col min="2" max="2" width="18.6328125" customWidth="1"/>
    <col min="3" max="3" width="13.26953125" customWidth="1"/>
    <col min="5" max="5" width="15.90625" customWidth="1"/>
  </cols>
  <sheetData>
    <row r="1" spans="1:5">
      <c r="A1" s="42" t="s">
        <v>28</v>
      </c>
      <c r="B1" s="42" t="s">
        <v>29</v>
      </c>
      <c r="C1" s="42" t="s">
        <v>30</v>
      </c>
      <c r="E1" s="43"/>
    </row>
    <row r="2" spans="1:5" ht="15.75" customHeight="1">
      <c r="A2" s="44" t="s">
        <v>31</v>
      </c>
      <c r="B2" s="44" t="s">
        <v>32</v>
      </c>
      <c r="C2" s="45">
        <v>2</v>
      </c>
      <c r="D2" s="46"/>
    </row>
    <row r="3" spans="1:5" ht="15.75" customHeight="1">
      <c r="A3" s="44" t="s">
        <v>33</v>
      </c>
      <c r="B3" s="44" t="s">
        <v>34</v>
      </c>
      <c r="C3" s="47">
        <v>1</v>
      </c>
      <c r="D3" s="46"/>
      <c r="E3" s="48"/>
    </row>
    <row r="4" spans="1:5" ht="15.75" customHeight="1">
      <c r="A4" s="44" t="s">
        <v>35</v>
      </c>
      <c r="B4" s="44" t="s">
        <v>36</v>
      </c>
      <c r="C4" s="47">
        <v>1</v>
      </c>
      <c r="D4" s="46"/>
      <c r="E4" s="48"/>
    </row>
    <row r="5" spans="1:5" ht="15.75" customHeight="1">
      <c r="A5" s="44" t="s">
        <v>37</v>
      </c>
      <c r="B5" s="44" t="s">
        <v>38</v>
      </c>
      <c r="C5" s="49">
        <v>2</v>
      </c>
      <c r="D5" s="46"/>
      <c r="E5" s="48"/>
    </row>
    <row r="6" spans="1:5" ht="15.75" customHeight="1">
      <c r="A6" s="44" t="s">
        <v>39</v>
      </c>
      <c r="B6" s="44" t="s">
        <v>40</v>
      </c>
      <c r="C6" s="47" t="s">
        <v>25</v>
      </c>
      <c r="D6" s="46"/>
      <c r="E6" s="48"/>
    </row>
    <row r="7" spans="1:5" ht="15.75" customHeight="1">
      <c r="A7" s="44" t="s">
        <v>41</v>
      </c>
      <c r="B7" s="44" t="s">
        <v>42</v>
      </c>
      <c r="C7" s="47">
        <v>2</v>
      </c>
      <c r="D7" s="46"/>
      <c r="E7" s="48"/>
    </row>
    <row r="8" spans="1:5" ht="15.75" customHeight="1">
      <c r="A8" s="44" t="s">
        <v>43</v>
      </c>
      <c r="B8" s="44" t="s">
        <v>44</v>
      </c>
      <c r="C8" s="47">
        <v>1</v>
      </c>
      <c r="D8" s="46"/>
      <c r="E8" s="48"/>
    </row>
    <row r="9" spans="1:5" ht="15.75" customHeight="1">
      <c r="A9" s="44" t="s">
        <v>45</v>
      </c>
      <c r="B9" s="44" t="s">
        <v>46</v>
      </c>
      <c r="C9" s="49">
        <v>1</v>
      </c>
      <c r="D9" s="46"/>
      <c r="E9" s="48"/>
    </row>
    <row r="10" spans="1:5" ht="15.75" customHeight="1">
      <c r="A10" s="44" t="s">
        <v>47</v>
      </c>
      <c r="B10" s="44" t="s">
        <v>48</v>
      </c>
      <c r="C10" s="47">
        <v>1</v>
      </c>
      <c r="D10" s="46"/>
      <c r="E10" s="48"/>
    </row>
    <row r="11" spans="1:5" ht="15.75" customHeight="1">
      <c r="A11" s="44" t="s">
        <v>49</v>
      </c>
      <c r="B11" s="44" t="s">
        <v>50</v>
      </c>
      <c r="C11" s="47" t="s">
        <v>25</v>
      </c>
      <c r="D11" s="46"/>
      <c r="E11" s="48"/>
    </row>
    <row r="12" spans="1:5" ht="15.75" customHeight="1">
      <c r="A12" s="44" t="s">
        <v>51</v>
      </c>
      <c r="B12" s="44" t="s">
        <v>52</v>
      </c>
      <c r="C12" s="49">
        <v>2</v>
      </c>
      <c r="D12" s="46"/>
      <c r="E12" s="48"/>
    </row>
    <row r="13" spans="1:5" ht="15.75" customHeight="1">
      <c r="A13" s="44" t="s">
        <v>53</v>
      </c>
      <c r="B13" s="44" t="s">
        <v>54</v>
      </c>
      <c r="C13" s="47">
        <v>1</v>
      </c>
      <c r="D13" s="46"/>
      <c r="E13" s="48"/>
    </row>
    <row r="14" spans="1:5" ht="15.75" customHeight="1">
      <c r="A14" s="44" t="s">
        <v>55</v>
      </c>
      <c r="B14" s="44" t="s">
        <v>56</v>
      </c>
      <c r="C14" s="47" t="s">
        <v>25</v>
      </c>
      <c r="D14" s="46"/>
      <c r="E14" s="48"/>
    </row>
    <row r="15" spans="1:5" ht="15.75" customHeight="1">
      <c r="A15" s="44" t="s">
        <v>57</v>
      </c>
      <c r="B15" s="44" t="s">
        <v>58</v>
      </c>
      <c r="C15" s="49" t="s">
        <v>25</v>
      </c>
      <c r="D15" s="46"/>
      <c r="E15" s="48"/>
    </row>
    <row r="16" spans="1:5" ht="15.75" customHeight="1">
      <c r="A16" s="44" t="s">
        <v>59</v>
      </c>
      <c r="B16" s="44" t="s">
        <v>60</v>
      </c>
      <c r="C16" s="49"/>
      <c r="D16" s="50"/>
      <c r="E16" s="51"/>
    </row>
    <row r="17" spans="5:5" ht="15.75" customHeight="1">
      <c r="E17" s="48"/>
    </row>
    <row r="18" spans="5:5" ht="15.75" customHeight="1">
      <c r="E18" s="51"/>
    </row>
    <row r="19" spans="5:5">
      <c r="E19" s="52"/>
    </row>
    <row r="20" spans="5:5">
      <c r="E20" s="52"/>
    </row>
  </sheetData>
  <dataValidations count="3">
    <dataValidation type="list" allowBlank="1" showDropDown="1" sqref="D16" xr:uid="{00000000-0002-0000-0100-000000000000}">
      <formula1>"0,1,2,m,M"</formula1>
    </dataValidation>
    <dataValidation type="list" allowBlank="1" showDropDown="1" showErrorMessage="1" sqref="C16" xr:uid="{00000000-0002-0000-0100-000001000000}">
      <formula1>"0,1,2,m,M"</formula1>
    </dataValidation>
    <dataValidation type="list" allowBlank="1" showDropDown="1" showErrorMessage="1" sqref="C2:C15" xr:uid="{00000000-0002-0000-0100-000002000000}">
      <formula1>"1,X,2"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5</vt:i4>
      </vt:variant>
    </vt:vector>
  </HeadingPairs>
  <TitlesOfParts>
    <vt:vector size="7" baseType="lpstr">
      <vt:lpstr>Pronósticos</vt:lpstr>
      <vt:lpstr>Partidos</vt:lpstr>
      <vt:lpstr>MAULAS</vt:lpstr>
      <vt:lpstr>Partidos</vt:lpstr>
      <vt:lpstr>RESULTADOSYUNOS</vt:lpstr>
      <vt:lpstr>SeparacionA</vt:lpstr>
      <vt:lpstr>SeparacionPleno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Lozano Romero</cp:lastModifiedBy>
  <dcterms:modified xsi:type="dcterms:W3CDTF">2025-12-07T20:50:32Z</dcterms:modified>
</cp:coreProperties>
</file>